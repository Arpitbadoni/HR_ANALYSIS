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ownloads\"/>
    </mc:Choice>
  </mc:AlternateContent>
  <xr:revisionPtr revIDLastSave="0" documentId="8_{8B2CC5C1-3109-42AA-8EA8-4AF5D5BBDBA7}" xr6:coauthVersionLast="47" xr6:coauthVersionMax="47" xr10:uidLastSave="{00000000-0000-0000-0000-000000000000}"/>
  <bookViews>
    <workbookView xWindow="-108" yWindow="-108" windowWidth="23256" windowHeight="12456" activeTab="2" xr2:uid="{408BA6AB-5196-496B-9C80-B057CC378CDA}"/>
  </bookViews>
  <sheets>
    <sheet name="data" sheetId="1" r:id="rId1"/>
    <sheet name="pivot" sheetId="3" r:id="rId2"/>
    <sheet name="dashboard" sheetId="2"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5" i="3" l="1"/>
  <c r="F15" i="3"/>
  <c r="G12" i="3"/>
  <c r="R15" i="3"/>
  <c r="G14" i="3"/>
  <c r="O11" i="3"/>
  <c r="R14" i="3"/>
  <c r="U13" i="3"/>
  <c r="G15" i="3"/>
  <c r="O9" i="3"/>
  <c r="C10" i="3"/>
  <c r="U11" i="3"/>
  <c r="R13" i="3"/>
  <c r="O10" i="3"/>
  <c r="X14" i="3"/>
  <c r="X13" i="3"/>
  <c r="R12" i="3"/>
  <c r="F11" i="3"/>
  <c r="U15" i="3"/>
  <c r="F14" i="3"/>
  <c r="G11" i="3"/>
  <c r="U14" i="3"/>
  <c r="G13" i="3"/>
  <c r="C9" i="3"/>
  <c r="R11" i="3"/>
  <c r="U12" i="3"/>
  <c r="C11" i="3"/>
  <c r="F12" i="3"/>
  <c r="F13" i="3"/>
  <c r="X12" i="3"/>
  <c r="X11" i="3"/>
  <c r="J16" i="3"/>
  <c r="J19" i="3"/>
  <c r="J15" i="3"/>
  <c r="J13" i="3"/>
  <c r="J12" i="3"/>
  <c r="J20" i="3"/>
  <c r="J14" i="3"/>
  <c r="X16" i="3" l="1"/>
  <c r="U16" i="3"/>
  <c r="G16" i="3"/>
  <c r="N14" i="3"/>
  <c r="O14" i="3" s="1"/>
  <c r="O12" i="3"/>
  <c r="N15" i="3"/>
  <c r="O15" i="3" s="1"/>
  <c r="C12" i="3"/>
  <c r="J17" i="3"/>
  <c r="J21" i="3"/>
  <c r="K19" i="3"/>
  <c r="L19" i="3" s="1"/>
  <c r="K20" i="3"/>
  <c r="L20" i="3" s="1"/>
  <c r="N16" i="3"/>
  <c r="O16" i="3" s="1"/>
  <c r="R16" i="3"/>
  <c r="F16" i="3"/>
</calcChain>
</file>

<file path=xl/sharedStrings.xml><?xml version="1.0" encoding="utf-8"?>
<sst xmlns="http://schemas.openxmlformats.org/spreadsheetml/2006/main" count="879" uniqueCount="231">
  <si>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</si>
  <si>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</si>
  <si>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</si>
  <si>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</si>
  <si>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</si>
  <si>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</si>
  <si>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</si>
  <si>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</si>
  <si>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</si>
  <si>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</si>
  <si>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</si>
  <si>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</si>
  <si>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</si>
  <si>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</si>
  <si>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</si>
  <si>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</si>
  <si>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</si>
  <si>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</si>
  <si>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</si>
  <si>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</si>
  <si>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</si>
  <si>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</si>
  <si>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</si>
  <si>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</si>
  <si>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</si>
  <si>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</si>
  <si>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</si>
  <si>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</si>
  <si>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</si>
  <si>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</si>
  <si>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</si>
  <si>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</si>
  <si>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</si>
  <si>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</si>
  <si>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</si>
  <si>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</si>
  <si>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</si>
  <si>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</si>
  <si>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</si>
  <si>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</si>
  <si>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</si>
  <si>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</si>
  <si>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</si>
  <si>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</si>
  <si>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</si>
  <si>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</si>
  <si>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</si>
  <si>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</si>
  <si>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</si>
  <si>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</si>
  <si>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</si>
  <si>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</si>
  <si>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</si>
  <si>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</si>
  <si>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</si>
  <si>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</si>
  <si>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</si>
  <si>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</si>
  <si>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</si>
  <si>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</si>
  <si>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</si>
  <si>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</si>
  <si>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</si>
  <si>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</si>
  <si>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</si>
  <si>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</si>
  <si>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</si>
  <si>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</si>
  <si>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</si>
  <si>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</si>
  <si>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</si>
  <si>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</si>
  <si>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</si>
  <si>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</si>
  <si>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</si>
  <si>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</si>
  <si>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</si>
  <si>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</si>
  <si>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</si>
  <si>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</si>
  <si>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</si>
  <si>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</si>
  <si>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</si>
  <si>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</si>
  <si>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</si>
  <si>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</si>
  <si>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</si>
  <si>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</si>
  <si>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</si>
  <si>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</si>
  <si>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</si>
  <si>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</si>
  <si>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</si>
  <si>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</si>
  <si>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</si>
  <si>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</si>
  <si>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</si>
  <si>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</si>
  <si>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</si>
  <si>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</si>
  <si>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</si>
  <si>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</si>
  <si>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</si>
  <si>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</si>
  <si>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</si>
  <si>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</si>
  <si>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</si>
  <si>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</si>
  <si>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</si>
  <si>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</si>
  <si>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</si>
  <si>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</si>
  <si>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</si>
  <si>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</si>
  <si>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</si>
  <si>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</si>
  <si>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</si>
  <si>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</si>
  <si>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</si>
  <si>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</si>
  <si>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</si>
  <si>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</si>
  <si>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</si>
  <si>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</si>
  <si>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</si>
  <si>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</si>
  <si>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</si>
  <si>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</si>
  <si>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</si>
  <si>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</si>
  <si>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</si>
  <si>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</si>
  <si>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</si>
  <si>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</si>
  <si>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</si>
  <si>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</si>
  <si>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</si>
  <si>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</si>
  <si>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</si>
  <si>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</si>
  <si>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</si>
  <si>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</si>
  <si>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</si>
  <si>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</si>
  <si>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</si>
  <si>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</si>
  <si>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</si>
  <si>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</si>
  <si>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</si>
  <si>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</si>
  <si>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</si>
  <si>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</si>
  <si>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</si>
  <si>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</si>
  <si>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</si>
  <si>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</si>
  <si>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</si>
  <si>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</si>
  <si>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</si>
  <si>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</si>
  <si>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</si>
  <si>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</si>
  <si>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</si>
  <si>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</si>
  <si>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</si>
  <si>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</si>
  <si>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</si>
  <si>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</si>
  <si>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</si>
  <si>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</si>
  <si>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</si>
  <si>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</si>
  <si>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</si>
  <si>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</si>
  <si>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</si>
  <si>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</si>
  <si>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</si>
  <si>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</si>
  <si>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</si>
  <si>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</si>
  <si>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</si>
  <si>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</si>
  <si>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</si>
  <si>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</si>
  <si>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</si>
  <si>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</si>
  <si>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</si>
  <si>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</si>
  <si>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</si>
  <si>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</si>
  <si>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</si>
  <si>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</si>
  <si>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</si>
  <si>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</si>
  <si>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</si>
  <si>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</si>
  <si>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</si>
  <si>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</si>
  <si>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</si>
  <si>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</si>
  <si>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</si>
  <si>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</si>
  <si>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</si>
  <si>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</si>
  <si>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</si>
  <si>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</si>
  <si>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</si>
  <si>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</si>
  <si>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</si>
  <si>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</si>
  <si>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</si>
  <si>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</si>
  <si>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</si>
  <si>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</si>
  <si>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</si>
  <si>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</si>
  <si>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</si>
  <si>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 xml:space="preserve"> </t>
  </si>
  <si>
    <t>Number of employees to employment status</t>
  </si>
  <si>
    <t>Total</t>
  </si>
  <si>
    <t>Sum of Salary</t>
  </si>
  <si>
    <t xml:space="preserve">Total </t>
  </si>
  <si>
    <t>Salaries to departments</t>
  </si>
  <si>
    <t>Column Labels</t>
  </si>
  <si>
    <t>Age range to gender</t>
  </si>
  <si>
    <t>Workplace</t>
  </si>
  <si>
    <t>Sum of Leave Taken</t>
  </si>
  <si>
    <t>Regions</t>
  </si>
  <si>
    <t>Departments</t>
  </si>
  <si>
    <t xml:space="preserve"> Total</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</si>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</sst>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6">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6">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2" fillId="2" borderId="0" xfId="0" applyFont="1" applyFill="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9" fontId="0" fillId="0" borderId="0" xfId="2" applyFont="1"/>
    <xf numFmtId="9" fontId="4" fillId="0" borderId="0" xfId="2" applyFont="1"/>
    <xf numFmtId="9" fontId="0" fillId="0" borderId="0" xfId="0" applyNumberFormat="1"/>
    <xf numFmtId="165" fontId="0" fillId="0" borderId="0" xfId="0" applyNumberFormat="1"/>
    <xf numFmtId="0" fontId="5" fillId="3" borderId="0" xfId="0" applyFont="1" applyFill="1" applyAlignment="1">
      <alignment horizontal="center"/>
    </xf>
    <xf numFmtId="0" fontId="0" fillId="0" borderId="0" xfId="0" applyNumberFormat="1"/>
  </cellXfs>
  <cellStyles count="3">
    <cellStyle name="Comma" xfId="1" builtinId="3"/>
    <cellStyle name="Normal" xfId="0" builtinId="0"/>
    <cellStyle name="Percent" xfId="2" builtinId="5"/>
  </cellStyles>
  <dxfs count="144">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numFmt numFmtId="164" formatCode="_ * #,##0_ ;_ * \-#,##0_ ;_ * &quot;-&quot;??_ ;_ @_ "/>
    </dxf>
    <dxf>
      <numFmt numFmtId="164" formatCode="_ * #,##0_ ;_ * \-#,##0_ ;_ * &quot;-&quot;??_ ;_ @_ "/>
    </dxf>
    <dxf>
      <numFmt numFmtId="165" formatCode="0.0"/>
    </dxf>
    <dxf>
      <numFmt numFmtId="165" formatCode="0.0"/>
    </dxf>
    <dxf>
      <font>
        <sz val="10"/>
        <name val="Aptos Narrow"/>
        <family val="2"/>
        <scheme val="minor"/>
      </font>
      <fill>
        <patternFill>
          <fgColor rgb="FF1F1F1F"/>
          <bgColor rgb="FF1F1F1F"/>
        </patternFill>
      </fill>
    </dxf>
    <dxf>
      <numFmt numFmtId="164" formatCode="_ * #,##0_ ;_ * \-#,##0_ ;_ * &quot;-&quot;??_ ;_ @_ "/>
    </dxf>
    <dxf>
      <numFmt numFmtId="164" formatCode="_ * #,##0_ ;_ * \-#,##0_ ;_ * &quot;-&quot;??_ ;_ @_ "/>
    </dxf>
    <dxf>
      <numFmt numFmtId="165" formatCode="0.0"/>
    </dxf>
    <dxf>
      <numFmt numFmtId="165"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mystyle" pivot="0" table="0" count="4" xr9:uid="{B18829C6-CF6D-48F3-827C-2F9F2E9386F0}">
      <tableStyleElement type="wholeTable" dxfId="116"/>
    </tableStyle>
  </tableStyles>
  <colors>
    <mruColors>
      <color rgb="FFE5B244"/>
      <color rgb="FF282828"/>
      <color rgb="FF1F1F1F"/>
      <color rgb="FF948A54"/>
      <color rgb="FF77933C"/>
    </mruColors>
  </colors>
  <extLst>
    <ext xmlns:x14="http://schemas.microsoft.com/office/spreadsheetml/2009/9/main" uri="{46F421CA-312F-682f-3DD2-61675219B42D}">
      <x14:dxfs count="6">
        <dxf>
          <font>
            <sz val="11"/>
            <color rgb="FF1F1F1F"/>
            <name val="Aptos Narrow"/>
            <family val="2"/>
            <scheme val="minor"/>
          </font>
          <fill>
            <patternFill>
              <fgColor rgb="FFE5B244"/>
              <bgColor rgb="FFE5B244"/>
            </patternFill>
          </fill>
        </dxf>
        <dxf>
          <font>
            <color rgb="FFE5B244"/>
            <name val="Aptos Narrow"/>
            <family val="2"/>
            <scheme val="minor"/>
          </font>
          <fill>
            <patternFill>
              <bgColor rgb="FF282828"/>
            </patternFill>
          </fill>
        </dxf>
        <dxf>
          <font>
            <b/>
            <i val="0"/>
            <sz val="10"/>
            <color rgb="FF1F1F1F"/>
            <name val="Aptos Narrow"/>
            <family val="2"/>
            <scheme val="minor"/>
          </font>
          <fill>
            <patternFill>
              <fgColor rgb="FFE5B244"/>
              <bgColor rgb="FFE5B244"/>
            </patternFill>
          </fill>
        </dxf>
        <dxf>
          <font>
            <sz val="11"/>
            <color rgb="FF1F1F1F"/>
            <name val="Aptos Narrow"/>
            <family val="2"/>
            <scheme val="minor"/>
          </font>
          <fill>
            <patternFill>
              <fgColor rgb="FFE5B244"/>
              <bgColor rgb="FFE5B244"/>
            </patternFill>
          </fill>
        </dxf>
        <dxf>
          <font>
            <color rgb="FFE5B244"/>
            <name val="Aptos Narrow"/>
            <family val="2"/>
            <scheme val="minor"/>
          </font>
          <fill>
            <patternFill>
              <bgColor rgb="FF282828"/>
            </patternFill>
          </fill>
        </dxf>
        <dxf>
          <font>
            <b/>
            <i val="0"/>
            <sz val="10"/>
            <color rgb="FF1F1F1F"/>
            <name val="Aptos Narrow"/>
            <family val="2"/>
            <scheme val="minor"/>
          </font>
          <fill>
            <patternFill>
              <fgColor rgb="FFE5B244"/>
              <bgColor rgb="FFE5B244"/>
            </patternFill>
          </fill>
        </dxf>
      </x14:dxfs>
    </ext>
    <ext xmlns:x14="http://schemas.microsoft.com/office/spreadsheetml/2009/9/main" uri="{EB79DEF2-80B8-43e5-95BD-54CBDDF9020C}">
      <x14:slicerStyles defaultSlicerStyle="SlicerStyleLight1">
        <x14:slicerStyle name="mystyle">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9728058654911319"/>
        </c:manualLayout>
      </c:layout>
      <c:pieChart>
        <c:varyColors val="1"/>
        <c:ser>
          <c:idx val="0"/>
          <c:order val="0"/>
          <c:spPr>
            <a:ln w="31750">
              <a:solidFill>
                <a:srgbClr val="1F1F1F"/>
              </a:solidFill>
            </a:ln>
          </c:spPr>
          <c:dPt>
            <c:idx val="0"/>
            <c:bubble3D val="0"/>
            <c:spPr>
              <a:solidFill>
                <a:srgbClr val="E5B244"/>
              </a:solidFill>
              <a:ln w="31750">
                <a:solidFill>
                  <a:srgbClr val="1F1F1F"/>
                </a:solidFill>
              </a:ln>
              <a:effectLst/>
            </c:spPr>
            <c:extLst>
              <c:ext xmlns:c16="http://schemas.microsoft.com/office/drawing/2014/chart" uri="{C3380CC4-5D6E-409C-BE32-E72D297353CC}">
                <c16:uniqueId val="{00000001-D862-4357-96A3-0CB8C7BD4BBE}"/>
              </c:ext>
            </c:extLst>
          </c:dPt>
          <c:dPt>
            <c:idx val="1"/>
            <c:bubble3D val="0"/>
            <c:spPr>
              <a:solidFill>
                <a:schemeClr val="bg2">
                  <a:lumMod val="25000"/>
                </a:schemeClr>
              </a:solidFill>
              <a:ln w="31750">
                <a:solidFill>
                  <a:srgbClr val="1F1F1F"/>
                </a:solidFill>
              </a:ln>
              <a:effectLst/>
            </c:spPr>
            <c:extLst>
              <c:ext xmlns:c16="http://schemas.microsoft.com/office/drawing/2014/chart" uri="{C3380CC4-5D6E-409C-BE32-E72D297353CC}">
                <c16:uniqueId val="{00000003-D862-4357-96A3-0CB8C7BD4BBE}"/>
              </c:ext>
            </c:extLst>
          </c:dPt>
          <c:dPt>
            <c:idx val="2"/>
            <c:bubble3D val="0"/>
            <c:spPr>
              <a:solidFill>
                <a:schemeClr val="bg2">
                  <a:lumMod val="90000"/>
                </a:schemeClr>
              </a:solidFill>
              <a:ln w="31750">
                <a:solidFill>
                  <a:srgbClr val="1F1F1F"/>
                </a:solidFill>
              </a:ln>
              <a:effectLst/>
            </c:spPr>
            <c:extLst>
              <c:ext xmlns:c16="http://schemas.microsoft.com/office/drawing/2014/chart" uri="{C3380CC4-5D6E-409C-BE32-E72D297353CC}">
                <c16:uniqueId val="{00000005-D862-4357-96A3-0CB8C7BD4BBE}"/>
              </c:ext>
            </c:extLst>
          </c:dPt>
          <c:cat>
            <c:strRef>
              <c:f>pivot!$B$9:$B$11</c:f>
              <c:strCache>
                <c:ptCount val="3"/>
                <c:pt idx="0">
                  <c:v>Contract</c:v>
                </c:pt>
                <c:pt idx="1">
                  <c:v>Full-Time</c:v>
                </c:pt>
                <c:pt idx="2">
                  <c:v>Part-Time</c:v>
                </c:pt>
              </c:strCache>
            </c:strRef>
          </c:cat>
          <c:val>
            <c:numRef>
              <c:f>pivot!$C$9:$C$11</c:f>
              <c:numCache>
                <c:formatCode>General</c:formatCode>
                <c:ptCount val="3"/>
                <c:pt idx="0">
                  <c:v>17</c:v>
                </c:pt>
                <c:pt idx="1">
                  <c:v>20</c:v>
                </c:pt>
                <c:pt idx="2">
                  <c:v>13</c:v>
                </c:pt>
              </c:numCache>
            </c:numRef>
          </c:val>
          <c:extLst>
            <c:ext xmlns:c16="http://schemas.microsoft.com/office/drawing/2014/chart" uri="{C3380CC4-5D6E-409C-BE32-E72D297353CC}">
              <c16:uniqueId val="{00000006-D862-4357-96A3-0CB8C7BD4BB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[HR_DASHBOARD_PROJECT.xlsx]pivot!Age reange </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24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pivot!$J$3:$J$4</c:f>
              <c:strCache>
                <c:ptCount val="1"/>
                <c:pt idx="0">
                  <c:v>Female</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18-25</c:v>
                </c:pt>
                <c:pt idx="1">
                  <c:v>26-35</c:v>
                </c:pt>
                <c:pt idx="2">
                  <c:v>36-45</c:v>
                </c:pt>
                <c:pt idx="3">
                  <c:v>46-55</c:v>
                </c:pt>
                <c:pt idx="4">
                  <c:v>56 &lt;</c:v>
                </c:pt>
              </c:strCache>
            </c:strRef>
          </c:cat>
          <c:val>
            <c:numRef>
              <c:f>pivot!$J$5:$J$10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0611-467A-BC4F-3727F57E7F4D}"/>
            </c:ext>
          </c:extLst>
        </c:ser>
        <c:ser>
          <c:idx val="1"/>
          <c:order val="1"/>
          <c:tx>
            <c:strRef>
              <c:f>pivot!$K$3:$K$4</c:f>
              <c:strCache>
                <c:ptCount val="1"/>
                <c:pt idx="0">
                  <c:v>Male</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18-25</c:v>
                </c:pt>
                <c:pt idx="1">
                  <c:v>26-35</c:v>
                </c:pt>
                <c:pt idx="2">
                  <c:v>36-45</c:v>
                </c:pt>
                <c:pt idx="3">
                  <c:v>46-55</c:v>
                </c:pt>
                <c:pt idx="4">
                  <c:v>56 &lt;</c:v>
                </c:pt>
              </c:strCache>
            </c:strRef>
          </c:cat>
          <c:val>
            <c:numRef>
              <c:f>pivot!$K$5:$K$10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B-310D-44B4-B95E-2CAFFACEDDFE}"/>
            </c:ext>
          </c:extLst>
        </c:ser>
        <c:dLbls>
          <c:dLblPos val="outEnd"/>
          <c:showLegendKey val="0"/>
          <c:showVal val="1"/>
          <c:showCatName val="0"/>
          <c:showSerName val="0"/>
          <c:showPercent val="0"/>
          <c:showBubbleSize val="0"/>
        </c:dLbls>
        <c:gapWidth val="219"/>
        <c:overlap val="-27"/>
        <c:axId val="1039827984"/>
        <c:axId val="1039828464"/>
      </c:barChart>
      <c:catAx>
        <c:axId val="103982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9828464"/>
        <c:crosses val="autoZero"/>
        <c:auto val="1"/>
        <c:lblAlgn val="ctr"/>
        <c:lblOffset val="100"/>
        <c:noMultiLvlLbl val="0"/>
      </c:catAx>
      <c:valAx>
        <c:axId val="1039828464"/>
        <c:scaling>
          <c:orientation val="minMax"/>
        </c:scaling>
        <c:delete val="1"/>
        <c:axPos val="l"/>
        <c:majorGridlines>
          <c:spPr>
            <a:ln w="9525" cap="flat" cmpd="sng" algn="ctr">
              <a:solidFill>
                <a:srgbClr val="E5B244">
                  <a:alpha val="35000"/>
                </a:srgbClr>
              </a:solidFill>
              <a:prstDash val="dashDot"/>
              <a:round/>
            </a:ln>
            <a:effectLst/>
          </c:spPr>
        </c:majorGridlines>
        <c:numFmt formatCode="General" sourceLinked="1"/>
        <c:majorTickMark val="none"/>
        <c:minorTickMark val="none"/>
        <c:tickLblPos val="nextTo"/>
        <c:crossAx val="103982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pivot!$N$14</c:f>
              <c:numCache>
                <c:formatCode>0%</c:formatCode>
                <c:ptCount val="1"/>
                <c:pt idx="0">
                  <c:v>0.46</c:v>
                </c:pt>
              </c:numCache>
            </c:numRef>
          </c:val>
          <c:extLst>
            <c:ext xmlns:c16="http://schemas.microsoft.com/office/drawing/2014/chart" uri="{C3380CC4-5D6E-409C-BE32-E72D297353CC}">
              <c16:uniqueId val="{00000000-E6A7-4E2D-8396-BC84E1DF43E9}"/>
            </c:ext>
          </c:extLst>
        </c:ser>
        <c:ser>
          <c:idx val="1"/>
          <c:order val="1"/>
          <c:spPr>
            <a:solidFill>
              <a:srgbClr val="1F1F1F"/>
            </a:solidFill>
            <a:ln>
              <a:noFill/>
            </a:ln>
            <a:effectLst/>
          </c:spPr>
          <c:invertIfNegative val="0"/>
          <c:val>
            <c:numRef>
              <c:f>pivot!$O$14</c:f>
              <c:numCache>
                <c:formatCode>0%</c:formatCode>
                <c:ptCount val="1"/>
                <c:pt idx="0">
                  <c:v>0.54</c:v>
                </c:pt>
              </c:numCache>
            </c:numRef>
          </c:val>
          <c:extLst>
            <c:ext xmlns:c16="http://schemas.microsoft.com/office/drawing/2014/chart" uri="{C3380CC4-5D6E-409C-BE32-E72D297353CC}">
              <c16:uniqueId val="{00000001-E6A7-4E2D-8396-BC84E1DF43E9}"/>
            </c:ext>
          </c:extLst>
        </c:ser>
        <c:dLbls>
          <c:showLegendKey val="0"/>
          <c:showVal val="0"/>
          <c:showCatName val="0"/>
          <c:showSerName val="0"/>
          <c:showPercent val="0"/>
          <c:showBubbleSize val="0"/>
        </c:dLbls>
        <c:gapWidth val="150"/>
        <c:overlap val="100"/>
        <c:axId val="1451032799"/>
        <c:axId val="1451033759"/>
      </c:barChart>
      <c:catAx>
        <c:axId val="1451032799"/>
        <c:scaling>
          <c:orientation val="minMax"/>
        </c:scaling>
        <c:delete val="1"/>
        <c:axPos val="l"/>
        <c:majorTickMark val="none"/>
        <c:minorTickMark val="none"/>
        <c:tickLblPos val="nextTo"/>
        <c:crossAx val="1451033759"/>
        <c:crosses val="autoZero"/>
        <c:auto val="1"/>
        <c:lblAlgn val="ctr"/>
        <c:lblOffset val="100"/>
        <c:noMultiLvlLbl val="0"/>
      </c:catAx>
      <c:valAx>
        <c:axId val="1451033759"/>
        <c:scaling>
          <c:orientation val="minMax"/>
        </c:scaling>
        <c:delete val="1"/>
        <c:axPos val="b"/>
        <c:numFmt formatCode="0%" sourceLinked="1"/>
        <c:majorTickMark val="none"/>
        <c:minorTickMark val="none"/>
        <c:tickLblPos val="nextTo"/>
        <c:crossAx val="145103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pivot!$N$15</c:f>
              <c:numCache>
                <c:formatCode>0%</c:formatCode>
                <c:ptCount val="1"/>
                <c:pt idx="0">
                  <c:v>0.16</c:v>
                </c:pt>
              </c:numCache>
            </c:numRef>
          </c:val>
          <c:extLst>
            <c:ext xmlns:c16="http://schemas.microsoft.com/office/drawing/2014/chart" uri="{C3380CC4-5D6E-409C-BE32-E72D297353CC}">
              <c16:uniqueId val="{00000000-0644-4CD9-966E-1E44CF415222}"/>
            </c:ext>
          </c:extLst>
        </c:ser>
        <c:ser>
          <c:idx val="1"/>
          <c:order val="1"/>
          <c:spPr>
            <a:solidFill>
              <a:srgbClr val="1F1F1F"/>
            </a:solidFill>
            <a:ln>
              <a:noFill/>
            </a:ln>
            <a:effectLst/>
          </c:spPr>
          <c:invertIfNegative val="0"/>
          <c:val>
            <c:numRef>
              <c:f>pivot!$O$15</c:f>
              <c:numCache>
                <c:formatCode>0%</c:formatCode>
                <c:ptCount val="1"/>
                <c:pt idx="0">
                  <c:v>0.84</c:v>
                </c:pt>
              </c:numCache>
            </c:numRef>
          </c:val>
          <c:extLst>
            <c:ext xmlns:c16="http://schemas.microsoft.com/office/drawing/2014/chart" uri="{C3380CC4-5D6E-409C-BE32-E72D297353CC}">
              <c16:uniqueId val="{00000001-0644-4CD9-966E-1E44CF415222}"/>
            </c:ext>
          </c:extLst>
        </c:ser>
        <c:dLbls>
          <c:showLegendKey val="0"/>
          <c:showVal val="0"/>
          <c:showCatName val="0"/>
          <c:showSerName val="0"/>
          <c:showPercent val="0"/>
          <c:showBubbleSize val="0"/>
        </c:dLbls>
        <c:gapWidth val="150"/>
        <c:overlap val="100"/>
        <c:axId val="1457486207"/>
        <c:axId val="1457486687"/>
      </c:barChart>
      <c:catAx>
        <c:axId val="1457486207"/>
        <c:scaling>
          <c:orientation val="minMax"/>
        </c:scaling>
        <c:delete val="1"/>
        <c:axPos val="l"/>
        <c:majorTickMark val="none"/>
        <c:minorTickMark val="none"/>
        <c:tickLblPos val="nextTo"/>
        <c:crossAx val="1457486687"/>
        <c:crosses val="autoZero"/>
        <c:auto val="1"/>
        <c:lblAlgn val="ctr"/>
        <c:lblOffset val="100"/>
        <c:noMultiLvlLbl val="0"/>
      </c:catAx>
      <c:valAx>
        <c:axId val="1457486687"/>
        <c:scaling>
          <c:orientation val="minMax"/>
        </c:scaling>
        <c:delete val="1"/>
        <c:axPos val="b"/>
        <c:numFmt formatCode="0%" sourceLinked="1"/>
        <c:majorTickMark val="none"/>
        <c:minorTickMark val="none"/>
        <c:tickLblPos val="nextTo"/>
        <c:crossAx val="145748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pivot!$N$16</c:f>
              <c:numCache>
                <c:formatCode>0%</c:formatCode>
                <c:ptCount val="1"/>
                <c:pt idx="0">
                  <c:v>0.38</c:v>
                </c:pt>
              </c:numCache>
            </c:numRef>
          </c:val>
          <c:extLst>
            <c:ext xmlns:c16="http://schemas.microsoft.com/office/drawing/2014/chart" uri="{C3380CC4-5D6E-409C-BE32-E72D297353CC}">
              <c16:uniqueId val="{00000000-721A-4029-B2CC-12168FAC5244}"/>
            </c:ext>
          </c:extLst>
        </c:ser>
        <c:ser>
          <c:idx val="1"/>
          <c:order val="1"/>
          <c:spPr>
            <a:solidFill>
              <a:schemeClr val="accent2"/>
            </a:solidFill>
            <a:ln>
              <a:noFill/>
            </a:ln>
            <a:effectLst/>
          </c:spPr>
          <c:invertIfNegative val="0"/>
          <c:dPt>
            <c:idx val="0"/>
            <c:invertIfNegative val="0"/>
            <c:bubble3D val="0"/>
            <c:spPr>
              <a:solidFill>
                <a:srgbClr val="1F1F1F"/>
              </a:solidFill>
              <a:ln>
                <a:noFill/>
              </a:ln>
              <a:effectLst/>
            </c:spPr>
            <c:extLst>
              <c:ext xmlns:c16="http://schemas.microsoft.com/office/drawing/2014/chart" uri="{C3380CC4-5D6E-409C-BE32-E72D297353CC}">
                <c16:uniqueId val="{00000000-71F9-485B-83AD-F42ED98CBAC2}"/>
              </c:ext>
            </c:extLst>
          </c:dPt>
          <c:val>
            <c:numRef>
              <c:f>pivot!$O$16</c:f>
              <c:numCache>
                <c:formatCode>0%</c:formatCode>
                <c:ptCount val="1"/>
                <c:pt idx="0">
                  <c:v>0.62</c:v>
                </c:pt>
              </c:numCache>
            </c:numRef>
          </c:val>
          <c:extLst>
            <c:ext xmlns:c16="http://schemas.microsoft.com/office/drawing/2014/chart" uri="{C3380CC4-5D6E-409C-BE32-E72D297353CC}">
              <c16:uniqueId val="{00000001-721A-4029-B2CC-12168FAC5244}"/>
            </c:ext>
          </c:extLst>
        </c:ser>
        <c:dLbls>
          <c:showLegendKey val="0"/>
          <c:showVal val="0"/>
          <c:showCatName val="0"/>
          <c:showSerName val="0"/>
          <c:showPercent val="0"/>
          <c:showBubbleSize val="0"/>
        </c:dLbls>
        <c:gapWidth val="150"/>
        <c:overlap val="100"/>
        <c:axId val="1453136895"/>
        <c:axId val="1453136415"/>
      </c:barChart>
      <c:catAx>
        <c:axId val="1453136895"/>
        <c:scaling>
          <c:orientation val="minMax"/>
        </c:scaling>
        <c:delete val="1"/>
        <c:axPos val="l"/>
        <c:majorTickMark val="none"/>
        <c:minorTickMark val="none"/>
        <c:tickLblPos val="nextTo"/>
        <c:crossAx val="1453136415"/>
        <c:crosses val="autoZero"/>
        <c:auto val="1"/>
        <c:lblAlgn val="ctr"/>
        <c:lblOffset val="100"/>
        <c:noMultiLvlLbl val="0"/>
      </c:catAx>
      <c:valAx>
        <c:axId val="1453136415"/>
        <c:scaling>
          <c:orientation val="minMax"/>
        </c:scaling>
        <c:delete val="1"/>
        <c:axPos val="b"/>
        <c:numFmt formatCode="0%" sourceLinked="1"/>
        <c:majorTickMark val="none"/>
        <c:minorTickMark val="none"/>
        <c:tickLblPos val="nextTo"/>
        <c:crossAx val="145313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121665018882889"/>
          <c:y val="0.10399650162073942"/>
          <c:w val="0.58706302890490281"/>
          <c:h val="0.72827019123969561"/>
        </c:manualLayout>
      </c:layout>
      <c:doughnutChart>
        <c:varyColors val="1"/>
        <c:ser>
          <c:idx val="0"/>
          <c:order val="0"/>
          <c:spPr>
            <a:ln>
              <a:noFill/>
            </a:ln>
          </c:spPr>
          <c:dPt>
            <c:idx val="0"/>
            <c:bubble3D val="0"/>
            <c:spPr>
              <a:solidFill>
                <a:srgbClr val="E5B244"/>
              </a:solidFill>
              <a:ln w="19050">
                <a:noFill/>
              </a:ln>
              <a:effectLst/>
            </c:spPr>
            <c:extLst>
              <c:ext xmlns:c16="http://schemas.microsoft.com/office/drawing/2014/chart" uri="{C3380CC4-5D6E-409C-BE32-E72D297353CC}">
                <c16:uniqueId val="{00000001-773D-4ABB-9687-8E6FB44BE30B}"/>
              </c:ext>
            </c:extLst>
          </c:dPt>
          <c:dPt>
            <c:idx val="1"/>
            <c:bubble3D val="0"/>
            <c:spPr>
              <a:solidFill>
                <a:srgbClr val="1F1F1F"/>
              </a:solidFill>
              <a:ln w="19050">
                <a:noFill/>
              </a:ln>
              <a:effectLst/>
            </c:spPr>
            <c:extLst>
              <c:ext xmlns:c16="http://schemas.microsoft.com/office/drawing/2014/chart" uri="{C3380CC4-5D6E-409C-BE32-E72D297353CC}">
                <c16:uniqueId val="{00000003-773D-4ABB-9687-8E6FB44BE30B}"/>
              </c:ext>
            </c:extLst>
          </c:dPt>
          <c:val>
            <c:numRef>
              <c:f>pivot!$K$20:$L$20</c:f>
              <c:numCache>
                <c:formatCode>0%</c:formatCode>
                <c:ptCount val="2"/>
                <c:pt idx="0">
                  <c:v>0.52</c:v>
                </c:pt>
                <c:pt idx="1">
                  <c:v>0.48</c:v>
                </c:pt>
              </c:numCache>
            </c:numRef>
          </c:val>
          <c:extLst>
            <c:ext xmlns:c16="http://schemas.microsoft.com/office/drawing/2014/chart" uri="{C3380CC4-5D6E-409C-BE32-E72D297353CC}">
              <c16:uniqueId val="{00000004-773D-4ABB-9687-8E6FB44BE30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121638134828637"/>
          <c:y val="9.286572419473052E-2"/>
          <c:w val="0.59634853381755626"/>
          <c:h val="0.73978915275752388"/>
        </c:manualLayout>
      </c:layout>
      <c:doughnutChart>
        <c:varyColors val="1"/>
        <c:ser>
          <c:idx val="0"/>
          <c:order val="0"/>
          <c:spPr>
            <a:ln>
              <a:noFill/>
            </a:ln>
          </c:spPr>
          <c:dPt>
            <c:idx val="0"/>
            <c:bubble3D val="0"/>
            <c:spPr>
              <a:solidFill>
                <a:schemeClr val="bg2">
                  <a:lumMod val="90000"/>
                </a:schemeClr>
              </a:solidFill>
              <a:ln w="19050">
                <a:noFill/>
              </a:ln>
              <a:effectLst/>
            </c:spPr>
            <c:extLst>
              <c:ext xmlns:c16="http://schemas.microsoft.com/office/drawing/2014/chart" uri="{C3380CC4-5D6E-409C-BE32-E72D297353CC}">
                <c16:uniqueId val="{00000001-C8BA-4620-9B43-4F469FFE6594}"/>
              </c:ext>
            </c:extLst>
          </c:dPt>
          <c:dPt>
            <c:idx val="1"/>
            <c:bubble3D val="0"/>
            <c:spPr>
              <a:solidFill>
                <a:srgbClr val="1F1F1F"/>
              </a:solidFill>
              <a:ln w="19050">
                <a:noFill/>
              </a:ln>
              <a:effectLst/>
            </c:spPr>
            <c:extLst>
              <c:ext xmlns:c16="http://schemas.microsoft.com/office/drawing/2014/chart" uri="{C3380CC4-5D6E-409C-BE32-E72D297353CC}">
                <c16:uniqueId val="{00000003-C8BA-4620-9B43-4F469FFE6594}"/>
              </c:ext>
            </c:extLst>
          </c:dPt>
          <c:val>
            <c:numRef>
              <c:f>pivot!$K$19:$L$19</c:f>
              <c:numCache>
                <c:formatCode>0%</c:formatCode>
                <c:ptCount val="2"/>
                <c:pt idx="0">
                  <c:v>0.48</c:v>
                </c:pt>
                <c:pt idx="1">
                  <c:v>0.52</c:v>
                </c:pt>
              </c:numCache>
            </c:numRef>
          </c:val>
          <c:extLst>
            <c:ext xmlns:c16="http://schemas.microsoft.com/office/drawing/2014/chart" uri="{C3380CC4-5D6E-409C-BE32-E72D297353CC}">
              <c16:uniqueId val="{00000004-C8BA-4620-9B43-4F469FFE659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pivot!$E$11</c:f>
              <c:strCache>
                <c:ptCount val="1"/>
                <c:pt idx="0">
                  <c:v>Analyst</c:v>
                </c:pt>
              </c:strCache>
            </c:strRef>
          </c:tx>
          <c:spPr>
            <a:solidFill>
              <a:srgbClr val="77933C"/>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6E8-4CA3-A2F0-5FE15CEDE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pivot!$G$11</c:f>
              <c:numCache>
                <c:formatCode>_ * #,##0_ ;_ * \-#,##0_ ;_ * "-"??_ ;_ @_ </c:formatCode>
                <c:ptCount val="1"/>
                <c:pt idx="0">
                  <c:v>28</c:v>
                </c:pt>
              </c:numCache>
            </c:numRef>
          </c:val>
          <c:extLst>
            <c:ext xmlns:c16="http://schemas.microsoft.com/office/drawing/2014/chart" uri="{C3380CC4-5D6E-409C-BE32-E72D297353CC}">
              <c16:uniqueId val="{00000000-C6E8-4CA3-A2F0-5FE15CEDEA6C}"/>
            </c:ext>
          </c:extLst>
        </c:ser>
        <c:ser>
          <c:idx val="1"/>
          <c:order val="1"/>
          <c:tx>
            <c:strRef>
              <c:f>pivot!$E$12</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pivot!$G$12</c:f>
              <c:numCache>
                <c:formatCode>_ * #,##0_ ;_ * \-#,##0_ ;_ * "-"??_ ;_ @_ </c:formatCode>
                <c:ptCount val="1"/>
                <c:pt idx="0">
                  <c:v>110</c:v>
                </c:pt>
              </c:numCache>
            </c:numRef>
          </c:val>
          <c:extLst>
            <c:ext xmlns:c16="http://schemas.microsoft.com/office/drawing/2014/chart" uri="{C3380CC4-5D6E-409C-BE32-E72D297353CC}">
              <c16:uniqueId val="{00000001-C6E8-4CA3-A2F0-5FE15CEDEA6C}"/>
            </c:ext>
          </c:extLst>
        </c:ser>
        <c:ser>
          <c:idx val="2"/>
          <c:order val="2"/>
          <c:tx>
            <c:strRef>
              <c:f>pivot!$E$13</c:f>
              <c:strCache>
                <c:ptCount val="1"/>
                <c:pt idx="0">
                  <c:v>Developer</c:v>
                </c:pt>
              </c:strCache>
            </c:strRef>
          </c:tx>
          <c:spPr>
            <a:solidFill>
              <a:srgbClr val="948A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pivot!$G$13</c:f>
              <c:numCache>
                <c:formatCode>_ * #,##0_ ;_ * \-#,##0_ ;_ * "-"??_ ;_ @_ </c:formatCode>
                <c:ptCount val="1"/>
                <c:pt idx="0">
                  <c:v>104</c:v>
                </c:pt>
              </c:numCache>
            </c:numRef>
          </c:val>
          <c:extLst>
            <c:ext xmlns:c16="http://schemas.microsoft.com/office/drawing/2014/chart" uri="{C3380CC4-5D6E-409C-BE32-E72D297353CC}">
              <c16:uniqueId val="{00000002-C6E8-4CA3-A2F0-5FE15CEDEA6C}"/>
            </c:ext>
          </c:extLst>
        </c:ser>
        <c:ser>
          <c:idx val="3"/>
          <c:order val="3"/>
          <c:tx>
            <c:strRef>
              <c:f>pivot!$E$14</c:f>
              <c:strCache>
                <c:ptCount val="1"/>
                <c:pt idx="0">
                  <c:v>HR Specialist</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pivot!$G$14</c:f>
              <c:numCache>
                <c:formatCode>_ * #,##0_ ;_ * \-#,##0_ ;_ * "-"??_ ;_ @_ </c:formatCode>
                <c:ptCount val="1"/>
                <c:pt idx="0">
                  <c:v>123</c:v>
                </c:pt>
              </c:numCache>
            </c:numRef>
          </c:val>
          <c:extLst>
            <c:ext xmlns:c16="http://schemas.microsoft.com/office/drawing/2014/chart" uri="{C3380CC4-5D6E-409C-BE32-E72D297353CC}">
              <c16:uniqueId val="{00000003-C6E8-4CA3-A2F0-5FE15CEDEA6C}"/>
            </c:ext>
          </c:extLst>
        </c:ser>
        <c:ser>
          <c:idx val="4"/>
          <c:order val="4"/>
          <c:tx>
            <c:strRef>
              <c:f>pivot!$E$15</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pivot!$G$15</c:f>
              <c:numCache>
                <c:formatCode>_ * #,##0_ ;_ * \-#,##0_ ;_ * "-"??_ ;_ @_ </c:formatCode>
                <c:ptCount val="1"/>
                <c:pt idx="0">
                  <c:v>122</c:v>
                </c:pt>
              </c:numCache>
            </c:numRef>
          </c:val>
          <c:extLst>
            <c:ext xmlns:c16="http://schemas.microsoft.com/office/drawing/2014/chart" uri="{C3380CC4-5D6E-409C-BE32-E72D297353CC}">
              <c16:uniqueId val="{00000004-C6E8-4CA3-A2F0-5FE15CEDEA6C}"/>
            </c:ext>
          </c:extLst>
        </c:ser>
        <c:dLbls>
          <c:dLblPos val="outEnd"/>
          <c:showLegendKey val="0"/>
          <c:showVal val="1"/>
          <c:showCatName val="0"/>
          <c:showSerName val="0"/>
          <c:showPercent val="0"/>
          <c:showBubbleSize val="0"/>
        </c:dLbls>
        <c:gapWidth val="219"/>
        <c:overlap val="-27"/>
        <c:axId val="2073647359"/>
        <c:axId val="2073644959"/>
      </c:barChart>
      <c:catAx>
        <c:axId val="2073647359"/>
        <c:scaling>
          <c:orientation val="minMax"/>
        </c:scaling>
        <c:delete val="1"/>
        <c:axPos val="b"/>
        <c:numFmt formatCode="General" sourceLinked="1"/>
        <c:majorTickMark val="none"/>
        <c:minorTickMark val="none"/>
        <c:tickLblPos val="nextTo"/>
        <c:crossAx val="2073644959"/>
        <c:crosses val="autoZero"/>
        <c:auto val="1"/>
        <c:lblAlgn val="ctr"/>
        <c:lblOffset val="100"/>
        <c:noMultiLvlLbl val="0"/>
      </c:catAx>
      <c:valAx>
        <c:axId val="2073644959"/>
        <c:scaling>
          <c:orientation val="minMax"/>
        </c:scaling>
        <c:delete val="1"/>
        <c:axPos val="l"/>
        <c:majorGridlines>
          <c:spPr>
            <a:ln w="9525" cap="rnd" cmpd="sng" algn="ctr">
              <a:solidFill>
                <a:srgbClr val="E5B244">
                  <a:alpha val="35000"/>
                </a:srgbClr>
              </a:solidFill>
              <a:prstDash val="lgDashDotDot"/>
              <a:round/>
            </a:ln>
            <a:effectLst/>
          </c:spPr>
        </c:majorGridlines>
        <c:numFmt formatCode="_ * #,##0_ ;_ * \-#,##0_ ;_ * &quot;-&quot;??_ ;_ @_ " sourceLinked="1"/>
        <c:majorTickMark val="none"/>
        <c:minorTickMark val="none"/>
        <c:tickLblPos val="nextTo"/>
        <c:crossAx val="20736473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[HR_DASHBOARD_PROJECT.xlsx]pivot!regions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6670674171828"/>
          <c:y val="0"/>
          <c:w val="0.76015963768984796"/>
          <c:h val="0.93666667220764022"/>
        </c:manualLayout>
      </c:layout>
      <c:barChart>
        <c:barDir val="bar"/>
        <c:grouping val="clustered"/>
        <c:varyColors val="0"/>
        <c:ser>
          <c:idx val="0"/>
          <c:order val="0"/>
          <c:tx>
            <c:strRef>
              <c:f>pivot!$U$3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2">
                        <a:lumMod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pivot!$T$4:$T$9</c:f>
              <c:strCache>
                <c:ptCount val="5"/>
                <c:pt idx="0">
                  <c:v>Central</c:v>
                </c:pt>
                <c:pt idx="1">
                  <c:v>East</c:v>
                </c:pt>
                <c:pt idx="2">
                  <c:v>North</c:v>
                </c:pt>
                <c:pt idx="3">
                  <c:v>South</c:v>
                </c:pt>
                <c:pt idx="4">
                  <c:v>West</c:v>
                </c:pt>
              </c:strCache>
            </c:strRef>
          </c:cat>
          <c:val>
            <c:numRef>
              <c:f>pivot!$U$4:$U$9</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E902-405C-B646-5606DD76185A}"/>
            </c:ext>
          </c:extLst>
        </c:ser>
        <c:dLbls>
          <c:dLblPos val="outEnd"/>
          <c:showLegendKey val="0"/>
          <c:showVal val="1"/>
          <c:showCatName val="0"/>
          <c:showSerName val="0"/>
          <c:showPercent val="0"/>
          <c:showBubbleSize val="0"/>
        </c:dLbls>
        <c:gapWidth val="25"/>
        <c:axId val="634785872"/>
        <c:axId val="634778192"/>
      </c:barChart>
      <c:catAx>
        <c:axId val="6347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bg1"/>
                </a:solidFill>
                <a:latin typeface="+mn-lt"/>
                <a:ea typeface="+mn-ea"/>
                <a:cs typeface="+mn-cs"/>
              </a:defRPr>
            </a:pPr>
            <a:endParaRPr lang="en-US"/>
          </a:p>
        </c:txPr>
        <c:crossAx val="634778192"/>
        <c:crosses val="autoZero"/>
        <c:auto val="1"/>
        <c:lblAlgn val="ctr"/>
        <c:lblOffset val="100"/>
        <c:noMultiLvlLbl val="0"/>
      </c:catAx>
      <c:valAx>
        <c:axId val="634778192"/>
        <c:scaling>
          <c:orientation val="minMax"/>
        </c:scaling>
        <c:delete val="1"/>
        <c:axPos val="b"/>
        <c:numFmt formatCode="General" sourceLinked="1"/>
        <c:majorTickMark val="none"/>
        <c:minorTickMark val="none"/>
        <c:tickLblPos val="nextTo"/>
        <c:crossAx val="6347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110289</xdr:colOff>
      <xdr:row>1</xdr:row>
      <xdr:rowOff>90237</xdr:rowOff>
    </xdr:from>
    <xdr:to>
      <xdr:col>17</xdr:col>
      <xdr:colOff>275706</xdr:colOff>
      <xdr:row>35</xdr:row>
      <xdr:rowOff>132880</xdr:rowOff>
    </xdr:to>
    <xdr:sp macro="" textlink="">
      <xdr:nvSpPr>
        <xdr:cNvPr id="2" name="Rectangle: Rounded Corners 1">
          <a:extLst>
            <a:ext uri="{FF2B5EF4-FFF2-40B4-BE49-F238E27FC236}">
              <a16:creationId xmlns:a16="http://schemas.microsoft.com/office/drawing/2014/main" id="{35E9D905-E4D3-295C-BA07-456453118C90}"/>
            </a:ext>
          </a:extLst>
        </xdr:cNvPr>
        <xdr:cNvSpPr/>
      </xdr:nvSpPr>
      <xdr:spPr>
        <a:xfrm>
          <a:off x="110289" y="270711"/>
          <a:ext cx="10562706" cy="6178748"/>
        </a:xfrm>
        <a:prstGeom prst="roundRect">
          <a:avLst>
            <a:gd name="adj" fmla="val 3776"/>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122360</xdr:colOff>
      <xdr:row>21</xdr:row>
      <xdr:rowOff>150880</xdr:rowOff>
    </xdr:from>
    <xdr:to>
      <xdr:col>12</xdr:col>
      <xdr:colOff>203080</xdr:colOff>
      <xdr:row>35</xdr:row>
      <xdr:rowOff>2560</xdr:rowOff>
    </xdr:to>
    <xdr:sp macro="" textlink="">
      <xdr:nvSpPr>
        <xdr:cNvPr id="10" name="Rectangle: Rounded Corners 9">
          <a:extLst>
            <a:ext uri="{FF2B5EF4-FFF2-40B4-BE49-F238E27FC236}">
              <a16:creationId xmlns:a16="http://schemas.microsoft.com/office/drawing/2014/main" id="{5E5FA835-ECE0-1D51-97B7-1C2B53797021}"/>
            </a:ext>
          </a:extLst>
        </xdr:cNvPr>
        <xdr:cNvSpPr/>
      </xdr:nvSpPr>
      <xdr:spPr>
        <a:xfrm>
          <a:off x="5015202" y="3940827"/>
          <a:ext cx="2527141" cy="2378312"/>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130341</xdr:colOff>
      <xdr:row>33</xdr:row>
      <xdr:rowOff>40104</xdr:rowOff>
    </xdr:from>
    <xdr:to>
      <xdr:col>12</xdr:col>
      <xdr:colOff>147552</xdr:colOff>
      <xdr:row>34</xdr:row>
      <xdr:rowOff>100264</xdr:rowOff>
    </xdr:to>
    <xdr:sp macro="" textlink="">
      <xdr:nvSpPr>
        <xdr:cNvPr id="38" name="Rectangle: Rounded Corners 37">
          <a:extLst>
            <a:ext uri="{FF2B5EF4-FFF2-40B4-BE49-F238E27FC236}">
              <a16:creationId xmlns:a16="http://schemas.microsoft.com/office/drawing/2014/main" id="{866EB31E-6A28-837F-55D1-6502903B481C}"/>
            </a:ext>
          </a:extLst>
        </xdr:cNvPr>
        <xdr:cNvSpPr/>
      </xdr:nvSpPr>
      <xdr:spPr>
        <a:xfrm>
          <a:off x="6246394" y="5995736"/>
          <a:ext cx="1240421" cy="240633"/>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124326</xdr:colOff>
      <xdr:row>31</xdr:row>
      <xdr:rowOff>126330</xdr:rowOff>
    </xdr:from>
    <xdr:to>
      <xdr:col>12</xdr:col>
      <xdr:colOff>141537</xdr:colOff>
      <xdr:row>33</xdr:row>
      <xdr:rowOff>6015</xdr:rowOff>
    </xdr:to>
    <xdr:sp macro="" textlink="">
      <xdr:nvSpPr>
        <xdr:cNvPr id="79" name="Rectangle: Rounded Corners 78">
          <a:extLst>
            <a:ext uri="{FF2B5EF4-FFF2-40B4-BE49-F238E27FC236}">
              <a16:creationId xmlns:a16="http://schemas.microsoft.com/office/drawing/2014/main" id="{6D382E49-4050-EDE1-5F65-C5D6B824F86C}"/>
            </a:ext>
          </a:extLst>
        </xdr:cNvPr>
        <xdr:cNvSpPr/>
      </xdr:nvSpPr>
      <xdr:spPr>
        <a:xfrm>
          <a:off x="6240379" y="5721014"/>
          <a:ext cx="1240421" cy="240633"/>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118310</xdr:colOff>
      <xdr:row>30</xdr:row>
      <xdr:rowOff>32082</xdr:rowOff>
    </xdr:from>
    <xdr:to>
      <xdr:col>12</xdr:col>
      <xdr:colOff>135521</xdr:colOff>
      <xdr:row>31</xdr:row>
      <xdr:rowOff>92242</xdr:rowOff>
    </xdr:to>
    <xdr:sp macro="" textlink="">
      <xdr:nvSpPr>
        <xdr:cNvPr id="80" name="Rectangle: Rounded Corners 79">
          <a:extLst>
            <a:ext uri="{FF2B5EF4-FFF2-40B4-BE49-F238E27FC236}">
              <a16:creationId xmlns:a16="http://schemas.microsoft.com/office/drawing/2014/main" id="{18225B33-4210-6B24-ECFB-11F4EF8170A3}"/>
            </a:ext>
          </a:extLst>
        </xdr:cNvPr>
        <xdr:cNvSpPr/>
      </xdr:nvSpPr>
      <xdr:spPr>
        <a:xfrm>
          <a:off x="6234363" y="5446293"/>
          <a:ext cx="1240421" cy="240633"/>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112294</xdr:colOff>
      <xdr:row>28</xdr:row>
      <xdr:rowOff>128335</xdr:rowOff>
    </xdr:from>
    <xdr:to>
      <xdr:col>12</xdr:col>
      <xdr:colOff>129505</xdr:colOff>
      <xdr:row>30</xdr:row>
      <xdr:rowOff>8020</xdr:rowOff>
    </xdr:to>
    <xdr:sp macro="" textlink="">
      <xdr:nvSpPr>
        <xdr:cNvPr id="81" name="Rectangle: Rounded Corners 80">
          <a:extLst>
            <a:ext uri="{FF2B5EF4-FFF2-40B4-BE49-F238E27FC236}">
              <a16:creationId xmlns:a16="http://schemas.microsoft.com/office/drawing/2014/main" id="{4F877F18-5B45-D17C-12FD-D736D7A607BB}"/>
            </a:ext>
          </a:extLst>
        </xdr:cNvPr>
        <xdr:cNvSpPr/>
      </xdr:nvSpPr>
      <xdr:spPr>
        <a:xfrm>
          <a:off x="6228347" y="5181598"/>
          <a:ext cx="1240421" cy="240633"/>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106278</xdr:colOff>
      <xdr:row>27</xdr:row>
      <xdr:rowOff>54140</xdr:rowOff>
    </xdr:from>
    <xdr:to>
      <xdr:col>12</xdr:col>
      <xdr:colOff>123489</xdr:colOff>
      <xdr:row>28</xdr:row>
      <xdr:rowOff>114299</xdr:rowOff>
    </xdr:to>
    <xdr:sp macro="" textlink="">
      <xdr:nvSpPr>
        <xdr:cNvPr id="82" name="Rectangle: Rounded Corners 81">
          <a:extLst>
            <a:ext uri="{FF2B5EF4-FFF2-40B4-BE49-F238E27FC236}">
              <a16:creationId xmlns:a16="http://schemas.microsoft.com/office/drawing/2014/main" id="{02A37695-3C2A-DC54-C89D-516D3D9C9D9E}"/>
            </a:ext>
          </a:extLst>
        </xdr:cNvPr>
        <xdr:cNvSpPr/>
      </xdr:nvSpPr>
      <xdr:spPr>
        <a:xfrm>
          <a:off x="6222331" y="4926929"/>
          <a:ext cx="1240421" cy="240633"/>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100262</xdr:colOff>
      <xdr:row>25</xdr:row>
      <xdr:rowOff>110288</xdr:rowOff>
    </xdr:from>
    <xdr:to>
      <xdr:col>12</xdr:col>
      <xdr:colOff>117473</xdr:colOff>
      <xdr:row>26</xdr:row>
      <xdr:rowOff>170447</xdr:rowOff>
    </xdr:to>
    <xdr:sp macro="" textlink="">
      <xdr:nvSpPr>
        <xdr:cNvPr id="85" name="Rectangle: Rounded Corners 84">
          <a:extLst>
            <a:ext uri="{FF2B5EF4-FFF2-40B4-BE49-F238E27FC236}">
              <a16:creationId xmlns:a16="http://schemas.microsoft.com/office/drawing/2014/main" id="{6B82F8AB-C9D2-58F1-77F7-DDA491E3A05D}"/>
            </a:ext>
          </a:extLst>
        </xdr:cNvPr>
        <xdr:cNvSpPr/>
      </xdr:nvSpPr>
      <xdr:spPr>
        <a:xfrm>
          <a:off x="6216315" y="4622130"/>
          <a:ext cx="1240421" cy="240633"/>
        </a:xfrm>
        <a:prstGeom prst="roundRect">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257480</xdr:colOff>
      <xdr:row>25</xdr:row>
      <xdr:rowOff>20320</xdr:rowOff>
    </xdr:from>
    <xdr:to>
      <xdr:col>3</xdr:col>
      <xdr:colOff>503400</xdr:colOff>
      <xdr:row>34</xdr:row>
      <xdr:rowOff>174400</xdr:rowOff>
    </xdr:to>
    <xdr:sp macro="" textlink="">
      <xdr:nvSpPr>
        <xdr:cNvPr id="3" name="Rectangle: Rounded Corners 2">
          <a:extLst>
            <a:ext uri="{FF2B5EF4-FFF2-40B4-BE49-F238E27FC236}">
              <a16:creationId xmlns:a16="http://schemas.microsoft.com/office/drawing/2014/main" id="{E680CFE1-2577-0008-7AF4-66189ED04D84}"/>
            </a:ext>
          </a:extLst>
        </xdr:cNvPr>
        <xdr:cNvSpPr/>
      </xdr:nvSpPr>
      <xdr:spPr>
        <a:xfrm>
          <a:off x="257480" y="4592320"/>
          <a:ext cx="2074720" cy="1800000"/>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258040</xdr:colOff>
      <xdr:row>7</xdr:row>
      <xdr:rowOff>132080</xdr:rowOff>
    </xdr:from>
    <xdr:to>
      <xdr:col>3</xdr:col>
      <xdr:colOff>502840</xdr:colOff>
      <xdr:row>24</xdr:row>
      <xdr:rowOff>71120</xdr:rowOff>
    </xdr:to>
    <xdr:sp macro="" textlink="">
      <xdr:nvSpPr>
        <xdr:cNvPr id="8" name="Rectangle: Rounded Corners 7">
          <a:extLst>
            <a:ext uri="{FF2B5EF4-FFF2-40B4-BE49-F238E27FC236}">
              <a16:creationId xmlns:a16="http://schemas.microsoft.com/office/drawing/2014/main" id="{68578CA5-5B98-276E-0089-990C98349850}"/>
            </a:ext>
          </a:extLst>
        </xdr:cNvPr>
        <xdr:cNvSpPr/>
      </xdr:nvSpPr>
      <xdr:spPr>
        <a:xfrm>
          <a:off x="258040" y="1412240"/>
          <a:ext cx="2073600" cy="3048000"/>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584200</xdr:colOff>
      <xdr:row>21</xdr:row>
      <xdr:rowOff>172720</xdr:rowOff>
    </xdr:from>
    <xdr:to>
      <xdr:col>7</xdr:col>
      <xdr:colOff>593800</xdr:colOff>
      <xdr:row>34</xdr:row>
      <xdr:rowOff>174400</xdr:rowOff>
    </xdr:to>
    <xdr:sp macro="" textlink="">
      <xdr:nvSpPr>
        <xdr:cNvPr id="9" name="Rectangle: Rounded Corners 8">
          <a:extLst>
            <a:ext uri="{FF2B5EF4-FFF2-40B4-BE49-F238E27FC236}">
              <a16:creationId xmlns:a16="http://schemas.microsoft.com/office/drawing/2014/main" id="{8A249E61-AA5A-F46A-141A-3BF3D37455F6}"/>
            </a:ext>
          </a:extLst>
        </xdr:cNvPr>
        <xdr:cNvSpPr/>
      </xdr:nvSpPr>
      <xdr:spPr>
        <a:xfrm>
          <a:off x="2419016" y="3962667"/>
          <a:ext cx="2456021" cy="2347838"/>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121920</xdr:colOff>
      <xdr:row>7</xdr:row>
      <xdr:rowOff>120316</xdr:rowOff>
    </xdr:from>
    <xdr:to>
      <xdr:col>12</xdr:col>
      <xdr:colOff>203520</xdr:colOff>
      <xdr:row>21</xdr:row>
      <xdr:rowOff>54880</xdr:rowOff>
    </xdr:to>
    <xdr:sp macro="" textlink="">
      <xdr:nvSpPr>
        <xdr:cNvPr id="15" name="Rectangle: Rounded Corners 14">
          <a:extLst>
            <a:ext uri="{FF2B5EF4-FFF2-40B4-BE49-F238E27FC236}">
              <a16:creationId xmlns:a16="http://schemas.microsoft.com/office/drawing/2014/main" id="{C3D72C6B-CE5A-4D51-B8D1-93B152477F06}"/>
            </a:ext>
          </a:extLst>
        </xdr:cNvPr>
        <xdr:cNvSpPr/>
      </xdr:nvSpPr>
      <xdr:spPr>
        <a:xfrm>
          <a:off x="5014762" y="1383632"/>
          <a:ext cx="2528021" cy="2461195"/>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584200</xdr:colOff>
      <xdr:row>7</xdr:row>
      <xdr:rowOff>142240</xdr:rowOff>
    </xdr:from>
    <xdr:to>
      <xdr:col>7</xdr:col>
      <xdr:colOff>593800</xdr:colOff>
      <xdr:row>14</xdr:row>
      <xdr:rowOff>80210</xdr:rowOff>
    </xdr:to>
    <xdr:sp macro="" textlink="">
      <xdr:nvSpPr>
        <xdr:cNvPr id="21" name="Rectangle: Rounded Corners 20">
          <a:extLst>
            <a:ext uri="{FF2B5EF4-FFF2-40B4-BE49-F238E27FC236}">
              <a16:creationId xmlns:a16="http://schemas.microsoft.com/office/drawing/2014/main" id="{8B1DB93B-6BF4-01FD-4779-907ED7B838FE}"/>
            </a:ext>
          </a:extLst>
        </xdr:cNvPr>
        <xdr:cNvSpPr/>
      </xdr:nvSpPr>
      <xdr:spPr>
        <a:xfrm>
          <a:off x="2419016" y="1405556"/>
          <a:ext cx="2456021" cy="1201286"/>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56600</xdr:colOff>
      <xdr:row>15</xdr:row>
      <xdr:rowOff>20989</xdr:rowOff>
    </xdr:from>
    <xdr:to>
      <xdr:col>8</xdr:col>
      <xdr:colOff>3800</xdr:colOff>
      <xdr:row>21</xdr:row>
      <xdr:rowOff>54147</xdr:rowOff>
    </xdr:to>
    <xdr:sp macro="" textlink="">
      <xdr:nvSpPr>
        <xdr:cNvPr id="22" name="Rectangle: Rounded Corners 21">
          <a:extLst>
            <a:ext uri="{FF2B5EF4-FFF2-40B4-BE49-F238E27FC236}">
              <a16:creationId xmlns:a16="http://schemas.microsoft.com/office/drawing/2014/main" id="{654AFEB2-7B08-1082-28F7-AAA734397E1B}"/>
            </a:ext>
          </a:extLst>
        </xdr:cNvPr>
        <xdr:cNvSpPr/>
      </xdr:nvSpPr>
      <xdr:spPr>
        <a:xfrm>
          <a:off x="3726232" y="2728094"/>
          <a:ext cx="1170410" cy="1116000"/>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5800</xdr:colOff>
      <xdr:row>15</xdr:row>
      <xdr:rowOff>20053</xdr:rowOff>
    </xdr:from>
    <xdr:to>
      <xdr:col>5</xdr:col>
      <xdr:colOff>562600</xdr:colOff>
      <xdr:row>21</xdr:row>
      <xdr:rowOff>53840</xdr:rowOff>
    </xdr:to>
    <xdr:sp macro="" textlink="">
      <xdr:nvSpPr>
        <xdr:cNvPr id="23" name="Rectangle: Rounded Corners 22">
          <a:extLst>
            <a:ext uri="{FF2B5EF4-FFF2-40B4-BE49-F238E27FC236}">
              <a16:creationId xmlns:a16="http://schemas.microsoft.com/office/drawing/2014/main" id="{02DD6319-2D6E-1A7E-B803-382814098311}"/>
            </a:ext>
          </a:extLst>
        </xdr:cNvPr>
        <xdr:cNvSpPr/>
      </xdr:nvSpPr>
      <xdr:spPr>
        <a:xfrm>
          <a:off x="2452221" y="2727158"/>
          <a:ext cx="1168405" cy="1116629"/>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314960</xdr:colOff>
      <xdr:row>28</xdr:row>
      <xdr:rowOff>165460</xdr:rowOff>
    </xdr:from>
    <xdr:to>
      <xdr:col>14</xdr:col>
      <xdr:colOff>435487</xdr:colOff>
      <xdr:row>34</xdr:row>
      <xdr:rowOff>174397</xdr:rowOff>
    </xdr:to>
    <xdr:sp macro="" textlink="">
      <xdr:nvSpPr>
        <xdr:cNvPr id="24" name="Rectangle: Rounded Corners 23">
          <a:extLst>
            <a:ext uri="{FF2B5EF4-FFF2-40B4-BE49-F238E27FC236}">
              <a16:creationId xmlns:a16="http://schemas.microsoft.com/office/drawing/2014/main" id="{826A325E-1B29-7B72-4FB0-48D20DD90CAA}"/>
            </a:ext>
          </a:extLst>
        </xdr:cNvPr>
        <xdr:cNvSpPr/>
      </xdr:nvSpPr>
      <xdr:spPr>
        <a:xfrm>
          <a:off x="7630160" y="5286100"/>
          <a:ext cx="1339727" cy="1106217"/>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570353</xdr:colOff>
      <xdr:row>28</xdr:row>
      <xdr:rowOff>165460</xdr:rowOff>
    </xdr:from>
    <xdr:to>
      <xdr:col>17</xdr:col>
      <xdr:colOff>81280</xdr:colOff>
      <xdr:row>34</xdr:row>
      <xdr:rowOff>174397</xdr:rowOff>
    </xdr:to>
    <xdr:sp macro="" textlink="">
      <xdr:nvSpPr>
        <xdr:cNvPr id="26" name="Rectangle: Rounded Corners 25">
          <a:extLst>
            <a:ext uri="{FF2B5EF4-FFF2-40B4-BE49-F238E27FC236}">
              <a16:creationId xmlns:a16="http://schemas.microsoft.com/office/drawing/2014/main" id="{A7016F47-038F-2E9D-72D0-B797A139CEA4}"/>
            </a:ext>
          </a:extLst>
        </xdr:cNvPr>
        <xdr:cNvSpPr/>
      </xdr:nvSpPr>
      <xdr:spPr>
        <a:xfrm>
          <a:off x="9104753" y="5286100"/>
          <a:ext cx="1339727" cy="1106217"/>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570353</xdr:colOff>
      <xdr:row>22</xdr:row>
      <xdr:rowOff>20320</xdr:rowOff>
    </xdr:from>
    <xdr:to>
      <xdr:col>17</xdr:col>
      <xdr:colOff>81280</xdr:colOff>
      <xdr:row>28</xdr:row>
      <xdr:rowOff>29257</xdr:rowOff>
    </xdr:to>
    <xdr:sp macro="" textlink="">
      <xdr:nvSpPr>
        <xdr:cNvPr id="28" name="Rectangle: Rounded Corners 27">
          <a:extLst>
            <a:ext uri="{FF2B5EF4-FFF2-40B4-BE49-F238E27FC236}">
              <a16:creationId xmlns:a16="http://schemas.microsoft.com/office/drawing/2014/main" id="{7ED85E2A-66A1-3E68-2FD2-B8D2B350EFD1}"/>
            </a:ext>
          </a:extLst>
        </xdr:cNvPr>
        <xdr:cNvSpPr/>
      </xdr:nvSpPr>
      <xdr:spPr>
        <a:xfrm>
          <a:off x="9104753" y="4043680"/>
          <a:ext cx="1339727" cy="1106217"/>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325120</xdr:colOff>
      <xdr:row>11</xdr:row>
      <xdr:rowOff>160421</xdr:rowOff>
    </xdr:from>
    <xdr:to>
      <xdr:col>17</xdr:col>
      <xdr:colOff>71120</xdr:colOff>
      <xdr:row>20</xdr:row>
      <xdr:rowOff>80210</xdr:rowOff>
    </xdr:to>
    <xdr:sp macro="" textlink="">
      <xdr:nvSpPr>
        <xdr:cNvPr id="30" name="Rectangle: Rounded Corners 29">
          <a:extLst>
            <a:ext uri="{FF2B5EF4-FFF2-40B4-BE49-F238E27FC236}">
              <a16:creationId xmlns:a16="http://schemas.microsoft.com/office/drawing/2014/main" id="{C15EFB0E-670D-7540-A286-04F40E7DE623}"/>
            </a:ext>
          </a:extLst>
        </xdr:cNvPr>
        <xdr:cNvSpPr/>
      </xdr:nvSpPr>
      <xdr:spPr>
        <a:xfrm>
          <a:off x="7664383" y="2145632"/>
          <a:ext cx="2804026" cy="1544052"/>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325120</xdr:colOff>
      <xdr:row>2</xdr:row>
      <xdr:rowOff>90237</xdr:rowOff>
    </xdr:from>
    <xdr:to>
      <xdr:col>17</xdr:col>
      <xdr:colOff>71120</xdr:colOff>
      <xdr:row>11</xdr:row>
      <xdr:rowOff>22299</xdr:rowOff>
    </xdr:to>
    <xdr:sp macro="" textlink="">
      <xdr:nvSpPr>
        <xdr:cNvPr id="42" name="Rectangle: Rounded Corners 41">
          <a:extLst>
            <a:ext uri="{FF2B5EF4-FFF2-40B4-BE49-F238E27FC236}">
              <a16:creationId xmlns:a16="http://schemas.microsoft.com/office/drawing/2014/main" id="{B62682A6-D521-2E6B-B990-AEC131BF9B6C}"/>
            </a:ext>
          </a:extLst>
        </xdr:cNvPr>
        <xdr:cNvSpPr/>
      </xdr:nvSpPr>
      <xdr:spPr>
        <a:xfrm>
          <a:off x="7664383" y="451184"/>
          <a:ext cx="2804026" cy="1556326"/>
        </a:xfrm>
        <a:prstGeom prst="roundRect">
          <a:avLst>
            <a:gd name="adj" fmla="val 7636"/>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603580</xdr:colOff>
      <xdr:row>22</xdr:row>
      <xdr:rowOff>60960</xdr:rowOff>
    </xdr:from>
    <xdr:to>
      <xdr:col>16</xdr:col>
      <xdr:colOff>256259</xdr:colOff>
      <xdr:row>25</xdr:row>
      <xdr:rowOff>142240</xdr:rowOff>
    </xdr:to>
    <xdr:sp macro="" textlink="">
      <xdr:nvSpPr>
        <xdr:cNvPr id="44" name="TextBox 43">
          <a:extLst>
            <a:ext uri="{FF2B5EF4-FFF2-40B4-BE49-F238E27FC236}">
              <a16:creationId xmlns:a16="http://schemas.microsoft.com/office/drawing/2014/main" id="{AF0B39A1-6B74-2BC2-AF36-7A7F71188CFD}"/>
            </a:ext>
          </a:extLst>
        </xdr:cNvPr>
        <xdr:cNvSpPr txBox="1"/>
      </xdr:nvSpPr>
      <xdr:spPr>
        <a:xfrm>
          <a:off x="9164321" y="3993256"/>
          <a:ext cx="875642" cy="61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Part </a:t>
          </a:r>
        </a:p>
        <a:p>
          <a:r>
            <a:rPr lang="en-IN" sz="1100" b="1">
              <a:solidFill>
                <a:schemeClr val="bg1"/>
              </a:solidFill>
            </a:rPr>
            <a:t>time employees</a:t>
          </a:r>
        </a:p>
        <a:p>
          <a:endParaRPr lang="en-IN" sz="1100"/>
        </a:p>
      </xdr:txBody>
    </xdr:sp>
    <xdr:clientData/>
  </xdr:twoCellAnchor>
  <xdr:twoCellAnchor>
    <xdr:from>
      <xdr:col>16</xdr:col>
      <xdr:colOff>40640</xdr:colOff>
      <xdr:row>24</xdr:row>
      <xdr:rowOff>172720</xdr:rowOff>
    </xdr:from>
    <xdr:to>
      <xdr:col>17</xdr:col>
      <xdr:colOff>71120</xdr:colOff>
      <xdr:row>28</xdr:row>
      <xdr:rowOff>30480</xdr:rowOff>
    </xdr:to>
    <xdr:sp macro="" textlink="pivot!C11">
      <xdr:nvSpPr>
        <xdr:cNvPr id="45" name="TextBox 44">
          <a:extLst>
            <a:ext uri="{FF2B5EF4-FFF2-40B4-BE49-F238E27FC236}">
              <a16:creationId xmlns:a16="http://schemas.microsoft.com/office/drawing/2014/main" id="{E7C66500-AF5F-4C41-9B1A-3893DB199FE9}"/>
            </a:ext>
          </a:extLst>
        </xdr:cNvPr>
        <xdr:cNvSpPr txBox="1"/>
      </xdr:nvSpPr>
      <xdr:spPr>
        <a:xfrm>
          <a:off x="9794240" y="4561840"/>
          <a:ext cx="640080" cy="58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A520E607-927A-4790-A5CC-8D6DDCD2DA82}" type="TxLink">
            <a:rPr lang="en-US" sz="3200" b="1" i="0" u="none" strike="noStrike">
              <a:solidFill>
                <a:schemeClr val="bg1"/>
              </a:solidFill>
              <a:latin typeface="Aptos Narrow"/>
            </a:rPr>
            <a:pPr algn="r"/>
            <a:t>13</a:t>
          </a:fld>
          <a:endParaRPr lang="en-IN" sz="3200" b="1">
            <a:solidFill>
              <a:schemeClr val="bg1"/>
            </a:solidFill>
          </a:endParaRPr>
        </a:p>
      </xdr:txBody>
    </xdr:sp>
    <xdr:clientData/>
  </xdr:twoCellAnchor>
  <xdr:twoCellAnchor>
    <xdr:from>
      <xdr:col>14</xdr:col>
      <xdr:colOff>592667</xdr:colOff>
      <xdr:row>29</xdr:row>
      <xdr:rowOff>0</xdr:rowOff>
    </xdr:from>
    <xdr:to>
      <xdr:col>16</xdr:col>
      <xdr:colOff>245346</xdr:colOff>
      <xdr:row>32</xdr:row>
      <xdr:rowOff>81280</xdr:rowOff>
    </xdr:to>
    <xdr:sp macro="" textlink="">
      <xdr:nvSpPr>
        <xdr:cNvPr id="46" name="TextBox 45">
          <a:extLst>
            <a:ext uri="{FF2B5EF4-FFF2-40B4-BE49-F238E27FC236}">
              <a16:creationId xmlns:a16="http://schemas.microsoft.com/office/drawing/2014/main" id="{67BAE9E6-52A7-1F61-7894-DA9E9FEF88B2}"/>
            </a:ext>
          </a:extLst>
        </xdr:cNvPr>
        <xdr:cNvSpPr txBox="1"/>
      </xdr:nvSpPr>
      <xdr:spPr>
        <a:xfrm>
          <a:off x="9153408" y="5183481"/>
          <a:ext cx="875642" cy="61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Full </a:t>
          </a:r>
        </a:p>
        <a:p>
          <a:r>
            <a:rPr lang="en-IN" sz="1100" b="1">
              <a:solidFill>
                <a:schemeClr val="bg1"/>
              </a:solidFill>
            </a:rPr>
            <a:t>time employees</a:t>
          </a:r>
        </a:p>
        <a:p>
          <a:endParaRPr lang="en-IN" sz="1100"/>
        </a:p>
      </xdr:txBody>
    </xdr:sp>
    <xdr:clientData/>
  </xdr:twoCellAnchor>
  <xdr:twoCellAnchor>
    <xdr:from>
      <xdr:col>16</xdr:col>
      <xdr:colOff>20320</xdr:colOff>
      <xdr:row>31</xdr:row>
      <xdr:rowOff>111760</xdr:rowOff>
    </xdr:from>
    <xdr:to>
      <xdr:col>17</xdr:col>
      <xdr:colOff>50800</xdr:colOff>
      <xdr:row>34</xdr:row>
      <xdr:rowOff>152400</xdr:rowOff>
    </xdr:to>
    <xdr:sp macro="" textlink="pivot!C10">
      <xdr:nvSpPr>
        <xdr:cNvPr id="47" name="TextBox 46">
          <a:extLst>
            <a:ext uri="{FF2B5EF4-FFF2-40B4-BE49-F238E27FC236}">
              <a16:creationId xmlns:a16="http://schemas.microsoft.com/office/drawing/2014/main" id="{77065F88-B805-3162-558F-6AAB1095BF1C}"/>
            </a:ext>
          </a:extLst>
        </xdr:cNvPr>
        <xdr:cNvSpPr txBox="1"/>
      </xdr:nvSpPr>
      <xdr:spPr>
        <a:xfrm>
          <a:off x="9773920" y="5781040"/>
          <a:ext cx="640080" cy="58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2C1537D-3FF7-410E-9774-205116C4F1A2}" type="TxLink">
            <a:rPr lang="en-US" sz="3200" b="1" i="0" u="none" strike="noStrike">
              <a:solidFill>
                <a:schemeClr val="bg1"/>
              </a:solidFill>
              <a:latin typeface="Aptos Narrow"/>
            </a:rPr>
            <a:pPr algn="r"/>
            <a:t>20</a:t>
          </a:fld>
          <a:endParaRPr lang="en-IN" sz="3200" b="1">
            <a:solidFill>
              <a:schemeClr val="bg1"/>
            </a:solidFill>
          </a:endParaRPr>
        </a:p>
      </xdr:txBody>
    </xdr:sp>
    <xdr:clientData/>
  </xdr:twoCellAnchor>
  <xdr:twoCellAnchor>
    <xdr:from>
      <xdr:col>12</xdr:col>
      <xdr:colOff>339045</xdr:colOff>
      <xdr:row>29</xdr:row>
      <xdr:rowOff>30480</xdr:rowOff>
    </xdr:from>
    <xdr:to>
      <xdr:col>13</xdr:col>
      <xdr:colOff>605087</xdr:colOff>
      <xdr:row>32</xdr:row>
      <xdr:rowOff>111760</xdr:rowOff>
    </xdr:to>
    <xdr:sp macro="" textlink="">
      <xdr:nvSpPr>
        <xdr:cNvPr id="48" name="TextBox 47">
          <a:extLst>
            <a:ext uri="{FF2B5EF4-FFF2-40B4-BE49-F238E27FC236}">
              <a16:creationId xmlns:a16="http://schemas.microsoft.com/office/drawing/2014/main" id="{5291759C-9FD2-108F-1198-F2B9DA5CB8AD}"/>
            </a:ext>
          </a:extLst>
        </xdr:cNvPr>
        <xdr:cNvSpPr txBox="1"/>
      </xdr:nvSpPr>
      <xdr:spPr>
        <a:xfrm>
          <a:off x="7676823" y="5213961"/>
          <a:ext cx="877523" cy="61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Employees</a:t>
          </a:r>
        </a:p>
        <a:p>
          <a:r>
            <a:rPr lang="en-IN" sz="1100" b="1">
              <a:solidFill>
                <a:schemeClr val="bg1"/>
              </a:solidFill>
            </a:rPr>
            <a:t>with</a:t>
          </a:r>
        </a:p>
        <a:p>
          <a:r>
            <a:rPr lang="en-IN" sz="1100" b="1">
              <a:solidFill>
                <a:schemeClr val="bg1"/>
              </a:solidFill>
            </a:rPr>
            <a:t>contracts</a:t>
          </a:r>
        </a:p>
      </xdr:txBody>
    </xdr:sp>
    <xdr:clientData/>
  </xdr:twoCellAnchor>
  <xdr:twoCellAnchor>
    <xdr:from>
      <xdr:col>13</xdr:col>
      <xdr:colOff>387586</xdr:colOff>
      <xdr:row>31</xdr:row>
      <xdr:rowOff>142240</xdr:rowOff>
    </xdr:from>
    <xdr:to>
      <xdr:col>14</xdr:col>
      <xdr:colOff>418066</xdr:colOff>
      <xdr:row>35</xdr:row>
      <xdr:rowOff>0</xdr:rowOff>
    </xdr:to>
    <xdr:sp macro="" textlink="pivot!C9">
      <xdr:nvSpPr>
        <xdr:cNvPr id="49" name="TextBox 48">
          <a:extLst>
            <a:ext uri="{FF2B5EF4-FFF2-40B4-BE49-F238E27FC236}">
              <a16:creationId xmlns:a16="http://schemas.microsoft.com/office/drawing/2014/main" id="{6C3B0F70-2CB0-C38B-D1FA-F2896AC67F9E}"/>
            </a:ext>
          </a:extLst>
        </xdr:cNvPr>
        <xdr:cNvSpPr txBox="1"/>
      </xdr:nvSpPr>
      <xdr:spPr>
        <a:xfrm>
          <a:off x="8336845" y="5683203"/>
          <a:ext cx="641962" cy="572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784E90-541D-4582-AACB-DFBD5DD7530E}" type="TxLink">
            <a:rPr lang="en-US" sz="3200" b="1" i="0" u="none" strike="noStrike">
              <a:solidFill>
                <a:schemeClr val="bg1"/>
              </a:solidFill>
              <a:latin typeface="Aptos Narrow"/>
            </a:rPr>
            <a:pPr algn="r"/>
            <a:t>17</a:t>
          </a:fld>
          <a:endParaRPr lang="en-IN" sz="3200" b="1">
            <a:solidFill>
              <a:schemeClr val="bg1"/>
            </a:solidFill>
          </a:endParaRPr>
        </a:p>
      </xdr:txBody>
    </xdr:sp>
    <xdr:clientData/>
  </xdr:twoCellAnchor>
  <xdr:twoCellAnchor>
    <xdr:from>
      <xdr:col>8</xdr:col>
      <xdr:colOff>142370</xdr:colOff>
      <xdr:row>25</xdr:row>
      <xdr:rowOff>150391</xdr:rowOff>
    </xdr:from>
    <xdr:to>
      <xdr:col>9</xdr:col>
      <xdr:colOff>591553</xdr:colOff>
      <xdr:row>27</xdr:row>
      <xdr:rowOff>120318</xdr:rowOff>
    </xdr:to>
    <xdr:sp macro="" textlink="">
      <xdr:nvSpPr>
        <xdr:cNvPr id="4" name="TextBox 3">
          <a:extLst>
            <a:ext uri="{FF2B5EF4-FFF2-40B4-BE49-F238E27FC236}">
              <a16:creationId xmlns:a16="http://schemas.microsoft.com/office/drawing/2014/main" id="{79476B6F-151F-128C-B85F-6F7FD10D42DA}"/>
            </a:ext>
          </a:extLst>
        </xdr:cNvPr>
        <xdr:cNvSpPr txBox="1"/>
      </xdr:nvSpPr>
      <xdr:spPr>
        <a:xfrm>
          <a:off x="5035212" y="4662233"/>
          <a:ext cx="1060788" cy="330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a:t>
          </a:r>
          <a:r>
            <a:rPr lang="en-IN" sz="1200" b="1" baseline="0">
              <a:solidFill>
                <a:schemeClr val="bg1"/>
              </a:solidFill>
            </a:rPr>
            <a:t> Salaries</a:t>
          </a:r>
          <a:endParaRPr lang="en-IN" sz="1200" b="1">
            <a:solidFill>
              <a:schemeClr val="bg1"/>
            </a:solidFill>
          </a:endParaRPr>
        </a:p>
      </xdr:txBody>
    </xdr:sp>
    <xdr:clientData/>
  </xdr:twoCellAnchor>
  <xdr:twoCellAnchor>
    <xdr:from>
      <xdr:col>0</xdr:col>
      <xdr:colOff>403056</xdr:colOff>
      <xdr:row>16</xdr:row>
      <xdr:rowOff>86225</xdr:rowOff>
    </xdr:from>
    <xdr:to>
      <xdr:col>2</xdr:col>
      <xdr:colOff>320843</xdr:colOff>
      <xdr:row>18</xdr:row>
      <xdr:rowOff>30080</xdr:rowOff>
    </xdr:to>
    <xdr:sp macro="" textlink="">
      <xdr:nvSpPr>
        <xdr:cNvPr id="6" name="TextBox 5">
          <a:extLst>
            <a:ext uri="{FF2B5EF4-FFF2-40B4-BE49-F238E27FC236}">
              <a16:creationId xmlns:a16="http://schemas.microsoft.com/office/drawing/2014/main" id="{EE6A5767-0C81-F366-2D95-D01D3684C725}"/>
            </a:ext>
          </a:extLst>
        </xdr:cNvPr>
        <xdr:cNvSpPr txBox="1"/>
      </xdr:nvSpPr>
      <xdr:spPr>
        <a:xfrm>
          <a:off x="403056" y="2973804"/>
          <a:ext cx="1140998" cy="304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a:solidFill>
                <a:schemeClr val="bg1"/>
              </a:solidFill>
            </a:rPr>
            <a:t>Communication</a:t>
          </a:r>
        </a:p>
      </xdr:txBody>
    </xdr:sp>
    <xdr:clientData/>
  </xdr:twoCellAnchor>
  <xdr:twoCellAnchor>
    <xdr:from>
      <xdr:col>0</xdr:col>
      <xdr:colOff>403056</xdr:colOff>
      <xdr:row>17</xdr:row>
      <xdr:rowOff>159039</xdr:rowOff>
    </xdr:from>
    <xdr:to>
      <xdr:col>1</xdr:col>
      <xdr:colOff>591554</xdr:colOff>
      <xdr:row>19</xdr:row>
      <xdr:rowOff>144506</xdr:rowOff>
    </xdr:to>
    <xdr:sp macro="" textlink="">
      <xdr:nvSpPr>
        <xdr:cNvPr id="7" name="TextBox 6">
          <a:extLst>
            <a:ext uri="{FF2B5EF4-FFF2-40B4-BE49-F238E27FC236}">
              <a16:creationId xmlns:a16="http://schemas.microsoft.com/office/drawing/2014/main" id="{60E3F6A2-A9C6-4E28-13CF-1C71C1B1AF72}"/>
            </a:ext>
          </a:extLst>
        </xdr:cNvPr>
        <xdr:cNvSpPr txBox="1"/>
      </xdr:nvSpPr>
      <xdr:spPr>
        <a:xfrm>
          <a:off x="403056" y="3227092"/>
          <a:ext cx="800103" cy="346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a:solidFill>
                <a:schemeClr val="bg1"/>
              </a:solidFill>
            </a:rPr>
            <a:t>Design</a:t>
          </a:r>
        </a:p>
      </xdr:txBody>
    </xdr:sp>
    <xdr:clientData/>
  </xdr:twoCellAnchor>
  <xdr:twoCellAnchor>
    <xdr:from>
      <xdr:col>0</xdr:col>
      <xdr:colOff>403056</xdr:colOff>
      <xdr:row>19</xdr:row>
      <xdr:rowOff>92992</xdr:rowOff>
    </xdr:from>
    <xdr:to>
      <xdr:col>2</xdr:col>
      <xdr:colOff>190501</xdr:colOff>
      <xdr:row>21</xdr:row>
      <xdr:rowOff>42862</xdr:rowOff>
    </xdr:to>
    <xdr:sp macro="" textlink="">
      <xdr:nvSpPr>
        <xdr:cNvPr id="11" name="TextBox 10">
          <a:extLst>
            <a:ext uri="{FF2B5EF4-FFF2-40B4-BE49-F238E27FC236}">
              <a16:creationId xmlns:a16="http://schemas.microsoft.com/office/drawing/2014/main" id="{29621142-CE85-52A7-C519-BDF8105B9B57}"/>
            </a:ext>
          </a:extLst>
        </xdr:cNvPr>
        <xdr:cNvSpPr txBox="1"/>
      </xdr:nvSpPr>
      <xdr:spPr>
        <a:xfrm>
          <a:off x="403056" y="3521992"/>
          <a:ext cx="1010656" cy="3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a:solidFill>
                <a:schemeClr val="bg1"/>
              </a:solidFill>
            </a:rPr>
            <a:t>Excel</a:t>
          </a:r>
        </a:p>
      </xdr:txBody>
    </xdr:sp>
    <xdr:clientData/>
  </xdr:twoCellAnchor>
  <xdr:twoCellAnchor>
    <xdr:from>
      <xdr:col>0</xdr:col>
      <xdr:colOff>403056</xdr:colOff>
      <xdr:row>20</xdr:row>
      <xdr:rowOff>171821</xdr:rowOff>
    </xdr:from>
    <xdr:to>
      <xdr:col>2</xdr:col>
      <xdr:colOff>190501</xdr:colOff>
      <xdr:row>22</xdr:row>
      <xdr:rowOff>121691</xdr:rowOff>
    </xdr:to>
    <xdr:sp macro="" textlink="">
      <xdr:nvSpPr>
        <xdr:cNvPr id="12" name="TextBox 11">
          <a:extLst>
            <a:ext uri="{FF2B5EF4-FFF2-40B4-BE49-F238E27FC236}">
              <a16:creationId xmlns:a16="http://schemas.microsoft.com/office/drawing/2014/main" id="{EAA115E7-9D7A-FE81-3AE5-F6EE48812795}"/>
            </a:ext>
          </a:extLst>
        </xdr:cNvPr>
        <xdr:cNvSpPr txBox="1"/>
      </xdr:nvSpPr>
      <xdr:spPr>
        <a:xfrm>
          <a:off x="403056" y="3781295"/>
          <a:ext cx="1010656" cy="3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a:solidFill>
                <a:schemeClr val="bg1"/>
              </a:solidFill>
            </a:rPr>
            <a:t>Management</a:t>
          </a:r>
        </a:p>
      </xdr:txBody>
    </xdr:sp>
    <xdr:clientData/>
  </xdr:twoCellAnchor>
  <xdr:twoCellAnchor>
    <xdr:from>
      <xdr:col>0</xdr:col>
      <xdr:colOff>403056</xdr:colOff>
      <xdr:row>22</xdr:row>
      <xdr:rowOff>70176</xdr:rowOff>
    </xdr:from>
    <xdr:to>
      <xdr:col>2</xdr:col>
      <xdr:colOff>190501</xdr:colOff>
      <xdr:row>24</xdr:row>
      <xdr:rowOff>20046</xdr:rowOff>
    </xdr:to>
    <xdr:sp macro="" textlink="">
      <xdr:nvSpPr>
        <xdr:cNvPr id="13" name="TextBox 12">
          <a:extLst>
            <a:ext uri="{FF2B5EF4-FFF2-40B4-BE49-F238E27FC236}">
              <a16:creationId xmlns:a16="http://schemas.microsoft.com/office/drawing/2014/main" id="{AF7DAD6F-1E71-4C85-D504-6A7E23023BD4}"/>
            </a:ext>
          </a:extLst>
        </xdr:cNvPr>
        <xdr:cNvSpPr txBox="1"/>
      </xdr:nvSpPr>
      <xdr:spPr>
        <a:xfrm>
          <a:off x="403056" y="4040597"/>
          <a:ext cx="1010656" cy="3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a:solidFill>
                <a:schemeClr val="bg1"/>
              </a:solidFill>
            </a:rPr>
            <a:t>Python</a:t>
          </a:r>
        </a:p>
      </xdr:txBody>
    </xdr:sp>
    <xdr:clientData/>
  </xdr:twoCellAnchor>
  <xdr:twoCellAnchor>
    <xdr:from>
      <xdr:col>10</xdr:col>
      <xdr:colOff>170447</xdr:colOff>
      <xdr:row>25</xdr:row>
      <xdr:rowOff>100261</xdr:rowOff>
    </xdr:from>
    <xdr:to>
      <xdr:col>12</xdr:col>
      <xdr:colOff>190501</xdr:colOff>
      <xdr:row>27</xdr:row>
      <xdr:rowOff>10027</xdr:rowOff>
    </xdr:to>
    <xdr:sp macro="" textlink="pivot!F16">
      <xdr:nvSpPr>
        <xdr:cNvPr id="27" name="TextBox 26">
          <a:extLst>
            <a:ext uri="{FF2B5EF4-FFF2-40B4-BE49-F238E27FC236}">
              <a16:creationId xmlns:a16="http://schemas.microsoft.com/office/drawing/2014/main" id="{6773455E-4268-7A39-C076-FC99029DF9FD}"/>
            </a:ext>
          </a:extLst>
        </xdr:cNvPr>
        <xdr:cNvSpPr txBox="1"/>
      </xdr:nvSpPr>
      <xdr:spPr>
        <a:xfrm>
          <a:off x="6286500" y="4612103"/>
          <a:ext cx="1243264" cy="270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D689DF-9491-4151-AC69-D5C8671BAD56}" type="TxLink">
            <a:rPr lang="en-US" sz="1300" b="1" i="0" u="none" strike="noStrike">
              <a:solidFill>
                <a:srgbClr val="1F1F1F"/>
              </a:solidFill>
              <a:latin typeface="Aptos Narrow"/>
            </a:rPr>
            <a:pPr algn="r"/>
            <a:t> 31,04,913 </a:t>
          </a:fld>
          <a:endParaRPr lang="en-IN" sz="1300" b="1">
            <a:solidFill>
              <a:srgbClr val="1F1F1F"/>
            </a:solidFill>
          </a:endParaRPr>
        </a:p>
      </xdr:txBody>
    </xdr:sp>
    <xdr:clientData/>
  </xdr:twoCellAnchor>
  <xdr:twoCellAnchor>
    <xdr:from>
      <xdr:col>10</xdr:col>
      <xdr:colOff>210552</xdr:colOff>
      <xdr:row>27</xdr:row>
      <xdr:rowOff>30075</xdr:rowOff>
    </xdr:from>
    <xdr:to>
      <xdr:col>12</xdr:col>
      <xdr:colOff>190501</xdr:colOff>
      <xdr:row>28</xdr:row>
      <xdr:rowOff>110290</xdr:rowOff>
    </xdr:to>
    <xdr:sp macro="" textlink="pivot!F15">
      <xdr:nvSpPr>
        <xdr:cNvPr id="29" name="TextBox 28">
          <a:extLst>
            <a:ext uri="{FF2B5EF4-FFF2-40B4-BE49-F238E27FC236}">
              <a16:creationId xmlns:a16="http://schemas.microsoft.com/office/drawing/2014/main" id="{612C4EDE-FFBF-F2D6-19D8-E862488DB10A}"/>
            </a:ext>
          </a:extLst>
        </xdr:cNvPr>
        <xdr:cNvSpPr txBox="1"/>
      </xdr:nvSpPr>
      <xdr:spPr>
        <a:xfrm>
          <a:off x="6326605" y="4902864"/>
          <a:ext cx="1203159" cy="260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F4CB61D-6F4C-4BB6-B1FC-54343F47F88E}" type="TxLink">
            <a:rPr lang="en-US" sz="1300" b="0" i="0" u="none" strike="noStrike">
              <a:solidFill>
                <a:schemeClr val="bg1"/>
              </a:solidFill>
              <a:latin typeface="Aptos Narrow"/>
            </a:rPr>
            <a:pPr algn="r"/>
            <a:t> 7,31,170 </a:t>
          </a:fld>
          <a:endParaRPr lang="en-IN" sz="1300" b="0">
            <a:solidFill>
              <a:schemeClr val="bg1"/>
            </a:solidFill>
          </a:endParaRPr>
        </a:p>
      </xdr:txBody>
    </xdr:sp>
    <xdr:clientData/>
  </xdr:twoCellAnchor>
  <xdr:twoCellAnchor>
    <xdr:from>
      <xdr:col>10</xdr:col>
      <xdr:colOff>220579</xdr:colOff>
      <xdr:row>28</xdr:row>
      <xdr:rowOff>110284</xdr:rowOff>
    </xdr:from>
    <xdr:to>
      <xdr:col>12</xdr:col>
      <xdr:colOff>190501</xdr:colOff>
      <xdr:row>30</xdr:row>
      <xdr:rowOff>20052</xdr:rowOff>
    </xdr:to>
    <xdr:sp macro="" textlink="pivot!F14">
      <xdr:nvSpPr>
        <xdr:cNvPr id="31" name="TextBox 30">
          <a:extLst>
            <a:ext uri="{FF2B5EF4-FFF2-40B4-BE49-F238E27FC236}">
              <a16:creationId xmlns:a16="http://schemas.microsoft.com/office/drawing/2014/main" id="{1A7591D8-18BA-47F1-7B9D-BB4EDEB7C9E5}"/>
            </a:ext>
          </a:extLst>
        </xdr:cNvPr>
        <xdr:cNvSpPr txBox="1"/>
      </xdr:nvSpPr>
      <xdr:spPr>
        <a:xfrm>
          <a:off x="6336632" y="5163547"/>
          <a:ext cx="1193132" cy="27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F77451A-1B84-4410-8CFA-F88C59EF67FB}" type="TxLink">
            <a:rPr lang="en-US" sz="1300" b="0" i="0" u="none" strike="noStrike">
              <a:solidFill>
                <a:schemeClr val="bg1"/>
              </a:solidFill>
              <a:latin typeface="Aptos Narrow"/>
            </a:rPr>
            <a:pPr algn="r"/>
            <a:t> 9,59,266 </a:t>
          </a:fld>
          <a:endParaRPr lang="en-IN" sz="1300" b="0">
            <a:solidFill>
              <a:schemeClr val="bg1"/>
            </a:solidFill>
          </a:endParaRPr>
        </a:p>
      </xdr:txBody>
    </xdr:sp>
    <xdr:clientData/>
  </xdr:twoCellAnchor>
  <xdr:twoCellAnchor>
    <xdr:from>
      <xdr:col>10</xdr:col>
      <xdr:colOff>210554</xdr:colOff>
      <xdr:row>29</xdr:row>
      <xdr:rowOff>180469</xdr:rowOff>
    </xdr:from>
    <xdr:to>
      <xdr:col>12</xdr:col>
      <xdr:colOff>190501</xdr:colOff>
      <xdr:row>31</xdr:row>
      <xdr:rowOff>151306</xdr:rowOff>
    </xdr:to>
    <xdr:sp macro="" textlink="pivot!F13">
      <xdr:nvSpPr>
        <xdr:cNvPr id="32" name="TextBox 31">
          <a:extLst>
            <a:ext uri="{FF2B5EF4-FFF2-40B4-BE49-F238E27FC236}">
              <a16:creationId xmlns:a16="http://schemas.microsoft.com/office/drawing/2014/main" id="{E524D26D-D84C-53EF-2A84-D0BBBF0B1A98}"/>
            </a:ext>
          </a:extLst>
        </xdr:cNvPr>
        <xdr:cNvSpPr txBox="1"/>
      </xdr:nvSpPr>
      <xdr:spPr>
        <a:xfrm>
          <a:off x="6326607" y="5414206"/>
          <a:ext cx="1203157" cy="331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888BD88-B587-4408-BC58-5AEA4F1F11A0}" type="TxLink">
            <a:rPr lang="en-US" sz="1300" b="0" i="0" u="none" strike="noStrike">
              <a:solidFill>
                <a:schemeClr val="bg1"/>
              </a:solidFill>
              <a:latin typeface="Aptos Narrow"/>
            </a:rPr>
            <a:pPr algn="r"/>
            <a:t> 6,33,594 </a:t>
          </a:fld>
          <a:endParaRPr lang="en-IN" sz="1300" b="0">
            <a:solidFill>
              <a:schemeClr val="bg1"/>
            </a:solidFill>
          </a:endParaRPr>
        </a:p>
      </xdr:txBody>
    </xdr:sp>
    <xdr:clientData/>
  </xdr:twoCellAnchor>
  <xdr:twoCellAnchor>
    <xdr:from>
      <xdr:col>10</xdr:col>
      <xdr:colOff>210552</xdr:colOff>
      <xdr:row>31</xdr:row>
      <xdr:rowOff>130336</xdr:rowOff>
    </xdr:from>
    <xdr:to>
      <xdr:col>12</xdr:col>
      <xdr:colOff>190501</xdr:colOff>
      <xdr:row>33</xdr:row>
      <xdr:rowOff>30078</xdr:rowOff>
    </xdr:to>
    <xdr:sp macro="" textlink="pivot!F12">
      <xdr:nvSpPr>
        <xdr:cNvPr id="33" name="TextBox 32">
          <a:extLst>
            <a:ext uri="{FF2B5EF4-FFF2-40B4-BE49-F238E27FC236}">
              <a16:creationId xmlns:a16="http://schemas.microsoft.com/office/drawing/2014/main" id="{25F7F9C5-A0B1-06AA-BE20-C93D6920023F}"/>
            </a:ext>
          </a:extLst>
        </xdr:cNvPr>
        <xdr:cNvSpPr txBox="1"/>
      </xdr:nvSpPr>
      <xdr:spPr>
        <a:xfrm>
          <a:off x="6326605" y="5725020"/>
          <a:ext cx="1203159" cy="260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EEFB6C1-583E-456E-8324-651E85797A9A}" type="TxLink">
            <a:rPr lang="en-US" sz="1300" b="0" i="0" u="none" strike="noStrike">
              <a:solidFill>
                <a:schemeClr val="bg1"/>
              </a:solidFill>
              <a:latin typeface="Aptos Narrow"/>
            </a:rPr>
            <a:pPr algn="r"/>
            <a:t> 6,13,842 </a:t>
          </a:fld>
          <a:endParaRPr lang="en-IN" sz="1300" b="0">
            <a:solidFill>
              <a:schemeClr val="bg1"/>
            </a:solidFill>
          </a:endParaRPr>
        </a:p>
      </xdr:txBody>
    </xdr:sp>
    <xdr:clientData/>
  </xdr:twoCellAnchor>
  <xdr:twoCellAnchor>
    <xdr:from>
      <xdr:col>10</xdr:col>
      <xdr:colOff>280736</xdr:colOff>
      <xdr:row>33</xdr:row>
      <xdr:rowOff>10020</xdr:rowOff>
    </xdr:from>
    <xdr:to>
      <xdr:col>12</xdr:col>
      <xdr:colOff>190501</xdr:colOff>
      <xdr:row>34</xdr:row>
      <xdr:rowOff>120317</xdr:rowOff>
    </xdr:to>
    <xdr:sp macro="" textlink="pivot!F11">
      <xdr:nvSpPr>
        <xdr:cNvPr id="34" name="TextBox 33">
          <a:extLst>
            <a:ext uri="{FF2B5EF4-FFF2-40B4-BE49-F238E27FC236}">
              <a16:creationId xmlns:a16="http://schemas.microsoft.com/office/drawing/2014/main" id="{BE59B068-0174-93B5-608A-07D509783D5A}"/>
            </a:ext>
          </a:extLst>
        </xdr:cNvPr>
        <xdr:cNvSpPr txBox="1"/>
      </xdr:nvSpPr>
      <xdr:spPr>
        <a:xfrm>
          <a:off x="6396789" y="5965652"/>
          <a:ext cx="1132975" cy="29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D269AF1-505A-4A14-8F3D-6DF32FBE6168}" type="TxLink">
            <a:rPr lang="en-US" sz="1300" b="0" i="0" u="none" strike="noStrike">
              <a:solidFill>
                <a:schemeClr val="bg1"/>
              </a:solidFill>
              <a:latin typeface="Aptos Narrow"/>
            </a:rPr>
            <a:pPr algn="r"/>
            <a:t> 1,67,041 </a:t>
          </a:fld>
          <a:endParaRPr lang="en-IN" sz="1300" b="0">
            <a:solidFill>
              <a:schemeClr val="bg1"/>
            </a:solidFill>
          </a:endParaRPr>
        </a:p>
      </xdr:txBody>
    </xdr:sp>
    <xdr:clientData/>
  </xdr:twoCellAnchor>
  <xdr:twoCellAnchor>
    <xdr:from>
      <xdr:col>8</xdr:col>
      <xdr:colOff>212554</xdr:colOff>
      <xdr:row>22</xdr:row>
      <xdr:rowOff>70179</xdr:rowOff>
    </xdr:from>
    <xdr:to>
      <xdr:col>9</xdr:col>
      <xdr:colOff>581526</xdr:colOff>
      <xdr:row>23</xdr:row>
      <xdr:rowOff>130342</xdr:rowOff>
    </xdr:to>
    <xdr:sp macro="" textlink="">
      <xdr:nvSpPr>
        <xdr:cNvPr id="5" name="TextBox 4">
          <a:extLst>
            <a:ext uri="{FF2B5EF4-FFF2-40B4-BE49-F238E27FC236}">
              <a16:creationId xmlns:a16="http://schemas.microsoft.com/office/drawing/2014/main" id="{AF3DEBF4-1213-ABBA-ACA9-3E7FADDC456A}"/>
            </a:ext>
          </a:extLst>
        </xdr:cNvPr>
        <xdr:cNvSpPr txBox="1"/>
      </xdr:nvSpPr>
      <xdr:spPr>
        <a:xfrm>
          <a:off x="5105396" y="4040600"/>
          <a:ext cx="980577" cy="240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baseline="0">
              <a:solidFill>
                <a:srgbClr val="E5B244"/>
              </a:solidFill>
            </a:rPr>
            <a:t>Salaries</a:t>
          </a:r>
          <a:endParaRPr lang="en-IN" sz="1200" b="1">
            <a:solidFill>
              <a:srgbClr val="E5B244"/>
            </a:solidFill>
          </a:endParaRPr>
        </a:p>
      </xdr:txBody>
    </xdr:sp>
    <xdr:clientData/>
  </xdr:twoCellAnchor>
  <xdr:twoCellAnchor>
    <xdr:from>
      <xdr:col>8</xdr:col>
      <xdr:colOff>212555</xdr:colOff>
      <xdr:row>23</xdr:row>
      <xdr:rowOff>60152</xdr:rowOff>
    </xdr:from>
    <xdr:to>
      <xdr:col>11</xdr:col>
      <xdr:colOff>140369</xdr:colOff>
      <xdr:row>24</xdr:row>
      <xdr:rowOff>140370</xdr:rowOff>
    </xdr:to>
    <xdr:sp macro="" textlink="">
      <xdr:nvSpPr>
        <xdr:cNvPr id="14" name="TextBox 13">
          <a:extLst>
            <a:ext uri="{FF2B5EF4-FFF2-40B4-BE49-F238E27FC236}">
              <a16:creationId xmlns:a16="http://schemas.microsoft.com/office/drawing/2014/main" id="{E9E76CBB-3A0D-C250-21D1-37B3299F1DBC}"/>
            </a:ext>
          </a:extLst>
        </xdr:cNvPr>
        <xdr:cNvSpPr txBox="1"/>
      </xdr:nvSpPr>
      <xdr:spPr>
        <a:xfrm>
          <a:off x="5105397" y="4211047"/>
          <a:ext cx="1762630" cy="260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0" baseline="0">
              <a:solidFill>
                <a:schemeClr val="bg1">
                  <a:lumMod val="75000"/>
                </a:schemeClr>
              </a:solidFill>
            </a:rPr>
            <a:t>Salary amount by job title</a:t>
          </a:r>
          <a:endParaRPr lang="en-IN" sz="900" b="0">
            <a:solidFill>
              <a:schemeClr val="bg1">
                <a:lumMod val="75000"/>
              </a:schemeClr>
            </a:solidFill>
          </a:endParaRPr>
        </a:p>
      </xdr:txBody>
    </xdr:sp>
    <xdr:clientData/>
  </xdr:twoCellAnchor>
  <xdr:twoCellAnchor>
    <xdr:from>
      <xdr:col>12</xdr:col>
      <xdr:colOff>370974</xdr:colOff>
      <xdr:row>20</xdr:row>
      <xdr:rowOff>70179</xdr:rowOff>
    </xdr:from>
    <xdr:to>
      <xdr:col>17</xdr:col>
      <xdr:colOff>60158</xdr:colOff>
      <xdr:row>21</xdr:row>
      <xdr:rowOff>170448</xdr:rowOff>
    </xdr:to>
    <xdr:sp macro="" textlink="">
      <xdr:nvSpPr>
        <xdr:cNvPr id="18" name="TextBox 17">
          <a:extLst>
            <a:ext uri="{FF2B5EF4-FFF2-40B4-BE49-F238E27FC236}">
              <a16:creationId xmlns:a16="http://schemas.microsoft.com/office/drawing/2014/main" id="{83D59DB8-FE14-229D-974B-EF4D1C3361AB}"/>
            </a:ext>
          </a:extLst>
        </xdr:cNvPr>
        <xdr:cNvSpPr txBox="1"/>
      </xdr:nvSpPr>
      <xdr:spPr>
        <a:xfrm>
          <a:off x="7710237" y="3679653"/>
          <a:ext cx="2747210" cy="280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rgbClr val="E5B244"/>
              </a:solidFill>
            </a:rPr>
            <a:t>Employments</a:t>
          </a:r>
          <a:r>
            <a:rPr lang="en-IN" sz="1500" b="1" baseline="0">
              <a:solidFill>
                <a:srgbClr val="E5B244"/>
              </a:solidFill>
            </a:rPr>
            <a:t> Status BreakDown</a:t>
          </a:r>
          <a:endParaRPr lang="en-IN" sz="1500" b="1">
            <a:solidFill>
              <a:srgbClr val="E5B244"/>
            </a:solidFill>
          </a:endParaRPr>
        </a:p>
      </xdr:txBody>
    </xdr:sp>
    <xdr:clientData/>
  </xdr:twoCellAnchor>
  <xdr:twoCellAnchor>
    <xdr:from>
      <xdr:col>12</xdr:col>
      <xdr:colOff>451184</xdr:colOff>
      <xdr:row>22</xdr:row>
      <xdr:rowOff>10027</xdr:rowOff>
    </xdr:from>
    <xdr:to>
      <xdr:col>14</xdr:col>
      <xdr:colOff>360947</xdr:colOff>
      <xdr:row>28</xdr:row>
      <xdr:rowOff>60159</xdr:rowOff>
    </xdr:to>
    <xdr:graphicFrame macro="">
      <xdr:nvGraphicFramePr>
        <xdr:cNvPr id="53" name="Chart 52">
          <a:extLst>
            <a:ext uri="{FF2B5EF4-FFF2-40B4-BE49-F238E27FC236}">
              <a16:creationId xmlns:a16="http://schemas.microsoft.com/office/drawing/2014/main" id="{47A8180A-2D0B-4942-84DC-0DB8BC735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360946</xdr:colOff>
      <xdr:row>22</xdr:row>
      <xdr:rowOff>140367</xdr:rowOff>
    </xdr:from>
    <xdr:to>
      <xdr:col>16</xdr:col>
      <xdr:colOff>540946</xdr:colOff>
      <xdr:row>23</xdr:row>
      <xdr:rowOff>139893</xdr:rowOff>
    </xdr:to>
    <xdr:sp macro="" textlink="">
      <xdr:nvSpPr>
        <xdr:cNvPr id="56" name="Oval 55">
          <a:extLst>
            <a:ext uri="{FF2B5EF4-FFF2-40B4-BE49-F238E27FC236}">
              <a16:creationId xmlns:a16="http://schemas.microsoft.com/office/drawing/2014/main" id="{A30CEC5A-8AA0-2FF4-4B77-B35FAADB8241}"/>
            </a:ext>
          </a:extLst>
        </xdr:cNvPr>
        <xdr:cNvSpPr/>
      </xdr:nvSpPr>
      <xdr:spPr>
        <a:xfrm>
          <a:off x="10146630" y="4110788"/>
          <a:ext cx="180000" cy="1800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360946</xdr:colOff>
      <xdr:row>29</xdr:row>
      <xdr:rowOff>100261</xdr:rowOff>
    </xdr:from>
    <xdr:to>
      <xdr:col>16</xdr:col>
      <xdr:colOff>540946</xdr:colOff>
      <xdr:row>30</xdr:row>
      <xdr:rowOff>99787</xdr:rowOff>
    </xdr:to>
    <xdr:sp macro="" textlink="">
      <xdr:nvSpPr>
        <xdr:cNvPr id="57" name="Oval 56">
          <a:extLst>
            <a:ext uri="{FF2B5EF4-FFF2-40B4-BE49-F238E27FC236}">
              <a16:creationId xmlns:a16="http://schemas.microsoft.com/office/drawing/2014/main" id="{08D77AF7-9C6A-047B-0D7D-5A76851559B3}"/>
            </a:ext>
          </a:extLst>
        </xdr:cNvPr>
        <xdr:cNvSpPr/>
      </xdr:nvSpPr>
      <xdr:spPr>
        <a:xfrm>
          <a:off x="10146630" y="5333998"/>
          <a:ext cx="180000" cy="180000"/>
        </a:xfrm>
        <a:prstGeom prst="ellipse">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140367</xdr:colOff>
      <xdr:row>29</xdr:row>
      <xdr:rowOff>110287</xdr:rowOff>
    </xdr:from>
    <xdr:to>
      <xdr:col>14</xdr:col>
      <xdr:colOff>320367</xdr:colOff>
      <xdr:row>30</xdr:row>
      <xdr:rowOff>109813</xdr:rowOff>
    </xdr:to>
    <xdr:sp macro="" textlink="">
      <xdr:nvSpPr>
        <xdr:cNvPr id="58" name="Oval 57">
          <a:extLst>
            <a:ext uri="{FF2B5EF4-FFF2-40B4-BE49-F238E27FC236}">
              <a16:creationId xmlns:a16="http://schemas.microsoft.com/office/drawing/2014/main" id="{206603CB-F22E-A00F-3E07-38D4EF80DCBD}"/>
            </a:ext>
          </a:extLst>
        </xdr:cNvPr>
        <xdr:cNvSpPr/>
      </xdr:nvSpPr>
      <xdr:spPr>
        <a:xfrm>
          <a:off x="8702841" y="5344024"/>
          <a:ext cx="180000" cy="180000"/>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601578</xdr:colOff>
      <xdr:row>25</xdr:row>
      <xdr:rowOff>60158</xdr:rowOff>
    </xdr:from>
    <xdr:to>
      <xdr:col>7</xdr:col>
      <xdr:colOff>601579</xdr:colOff>
      <xdr:row>34</xdr:row>
      <xdr:rowOff>180473</xdr:rowOff>
    </xdr:to>
    <xdr:graphicFrame macro="">
      <xdr:nvGraphicFramePr>
        <xdr:cNvPr id="16" name="Chart 15">
          <a:extLst>
            <a:ext uri="{FF2B5EF4-FFF2-40B4-BE49-F238E27FC236}">
              <a16:creationId xmlns:a16="http://schemas.microsoft.com/office/drawing/2014/main" id="{DAFA96A5-8104-47FE-B80A-7DCA92C9E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92241</xdr:colOff>
      <xdr:row>22</xdr:row>
      <xdr:rowOff>20048</xdr:rowOff>
    </xdr:from>
    <xdr:to>
      <xdr:col>5</xdr:col>
      <xdr:colOff>461213</xdr:colOff>
      <xdr:row>23</xdr:row>
      <xdr:rowOff>80211</xdr:rowOff>
    </xdr:to>
    <xdr:sp macro="" textlink="">
      <xdr:nvSpPr>
        <xdr:cNvPr id="17" name="TextBox 16">
          <a:extLst>
            <a:ext uri="{FF2B5EF4-FFF2-40B4-BE49-F238E27FC236}">
              <a16:creationId xmlns:a16="http://schemas.microsoft.com/office/drawing/2014/main" id="{438FC77B-0106-AB55-7B4F-A3DD273C0B5B}"/>
            </a:ext>
          </a:extLst>
        </xdr:cNvPr>
        <xdr:cNvSpPr txBox="1"/>
      </xdr:nvSpPr>
      <xdr:spPr>
        <a:xfrm>
          <a:off x="2538662" y="3990469"/>
          <a:ext cx="980577" cy="240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E5B244"/>
              </a:solidFill>
            </a:rPr>
            <a:t>Age Range</a:t>
          </a:r>
        </a:p>
        <a:p>
          <a:endParaRPr lang="en-IN" sz="1200" b="1">
            <a:solidFill>
              <a:srgbClr val="E5B244"/>
            </a:solidFill>
          </a:endParaRPr>
        </a:p>
      </xdr:txBody>
    </xdr:sp>
    <xdr:clientData/>
  </xdr:twoCellAnchor>
  <xdr:twoCellAnchor>
    <xdr:from>
      <xdr:col>4</xdr:col>
      <xdr:colOff>92241</xdr:colOff>
      <xdr:row>23</xdr:row>
      <xdr:rowOff>30072</xdr:rowOff>
    </xdr:from>
    <xdr:to>
      <xdr:col>7</xdr:col>
      <xdr:colOff>120319</xdr:colOff>
      <xdr:row>25</xdr:row>
      <xdr:rowOff>150394</xdr:rowOff>
    </xdr:to>
    <xdr:sp macro="" textlink="">
      <xdr:nvSpPr>
        <xdr:cNvPr id="19" name="TextBox 18">
          <a:extLst>
            <a:ext uri="{FF2B5EF4-FFF2-40B4-BE49-F238E27FC236}">
              <a16:creationId xmlns:a16="http://schemas.microsoft.com/office/drawing/2014/main" id="{9C22FFBB-DBAD-0663-B474-8EF64D2980E5}"/>
            </a:ext>
          </a:extLst>
        </xdr:cNvPr>
        <xdr:cNvSpPr txBox="1"/>
      </xdr:nvSpPr>
      <xdr:spPr>
        <a:xfrm>
          <a:off x="2538662" y="4180967"/>
          <a:ext cx="1862894" cy="481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a:solidFill>
                <a:schemeClr val="bg1">
                  <a:lumMod val="75000"/>
                </a:schemeClr>
              </a:solidFill>
            </a:rPr>
            <a:t>No.</a:t>
          </a:r>
          <a:r>
            <a:rPr lang="en-IN" sz="900" b="0" baseline="0">
              <a:solidFill>
                <a:schemeClr val="bg1">
                  <a:lumMod val="75000"/>
                </a:schemeClr>
              </a:solidFill>
            </a:rPr>
            <a:t> of employees according to age ranges  and gender</a:t>
          </a:r>
        </a:p>
        <a:p>
          <a:endParaRPr lang="en-IN" sz="900" b="0">
            <a:solidFill>
              <a:schemeClr val="bg1">
                <a:lumMod val="75000"/>
              </a:schemeClr>
            </a:solidFill>
          </a:endParaRPr>
        </a:p>
      </xdr:txBody>
    </xdr:sp>
    <xdr:clientData/>
  </xdr:twoCellAnchor>
  <xdr:twoCellAnchor>
    <xdr:from>
      <xdr:col>7</xdr:col>
      <xdr:colOff>10026</xdr:colOff>
      <xdr:row>24</xdr:row>
      <xdr:rowOff>70179</xdr:rowOff>
    </xdr:from>
    <xdr:to>
      <xdr:col>7</xdr:col>
      <xdr:colOff>561473</xdr:colOff>
      <xdr:row>25</xdr:row>
      <xdr:rowOff>150395</xdr:rowOff>
    </xdr:to>
    <xdr:sp macro="" textlink="">
      <xdr:nvSpPr>
        <xdr:cNvPr id="36" name="TextBox 35">
          <a:extLst>
            <a:ext uri="{FF2B5EF4-FFF2-40B4-BE49-F238E27FC236}">
              <a16:creationId xmlns:a16="http://schemas.microsoft.com/office/drawing/2014/main" id="{FEE9D73E-79E0-FC1B-DCD1-F8BA4E193220}"/>
            </a:ext>
          </a:extLst>
        </xdr:cNvPr>
        <xdr:cNvSpPr txBox="1"/>
      </xdr:nvSpPr>
      <xdr:spPr>
        <a:xfrm>
          <a:off x="4291263" y="4401547"/>
          <a:ext cx="551447" cy="260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a:solidFill>
                <a:schemeClr val="bg1"/>
              </a:solidFill>
            </a:rPr>
            <a:t>Males</a:t>
          </a:r>
        </a:p>
        <a:p>
          <a:pPr algn="r"/>
          <a:endParaRPr lang="en-IN" sz="1600" b="0">
            <a:solidFill>
              <a:schemeClr val="bg1"/>
            </a:solidFill>
          </a:endParaRPr>
        </a:p>
      </xdr:txBody>
    </xdr:sp>
    <xdr:clientData/>
  </xdr:twoCellAnchor>
  <xdr:twoCellAnchor>
    <xdr:from>
      <xdr:col>7</xdr:col>
      <xdr:colOff>10024</xdr:colOff>
      <xdr:row>24</xdr:row>
      <xdr:rowOff>160423</xdr:rowOff>
    </xdr:from>
    <xdr:to>
      <xdr:col>7</xdr:col>
      <xdr:colOff>110288</xdr:colOff>
      <xdr:row>25</xdr:row>
      <xdr:rowOff>80213</xdr:rowOff>
    </xdr:to>
    <xdr:sp macro="" textlink="">
      <xdr:nvSpPr>
        <xdr:cNvPr id="37" name="Oval 36">
          <a:extLst>
            <a:ext uri="{FF2B5EF4-FFF2-40B4-BE49-F238E27FC236}">
              <a16:creationId xmlns:a16="http://schemas.microsoft.com/office/drawing/2014/main" id="{4118A0F9-26EB-4FBE-B5FD-A78FA8370735}"/>
            </a:ext>
          </a:extLst>
        </xdr:cNvPr>
        <xdr:cNvSpPr/>
      </xdr:nvSpPr>
      <xdr:spPr>
        <a:xfrm>
          <a:off x="4291261" y="4491791"/>
          <a:ext cx="100264" cy="100264"/>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5</xdr:col>
      <xdr:colOff>591553</xdr:colOff>
      <xdr:row>24</xdr:row>
      <xdr:rowOff>70178</xdr:rowOff>
    </xdr:from>
    <xdr:to>
      <xdr:col>7</xdr:col>
      <xdr:colOff>30079</xdr:colOff>
      <xdr:row>25</xdr:row>
      <xdr:rowOff>180473</xdr:rowOff>
    </xdr:to>
    <xdr:sp macro="" textlink="">
      <xdr:nvSpPr>
        <xdr:cNvPr id="39" name="TextBox 38">
          <a:extLst>
            <a:ext uri="{FF2B5EF4-FFF2-40B4-BE49-F238E27FC236}">
              <a16:creationId xmlns:a16="http://schemas.microsoft.com/office/drawing/2014/main" id="{B47239D8-4B2F-9AD0-15DE-85EB79D22391}"/>
            </a:ext>
          </a:extLst>
        </xdr:cNvPr>
        <xdr:cNvSpPr txBox="1"/>
      </xdr:nvSpPr>
      <xdr:spPr>
        <a:xfrm>
          <a:off x="3649579" y="4401546"/>
          <a:ext cx="661737" cy="290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a:solidFill>
                <a:schemeClr val="bg1"/>
              </a:solidFill>
            </a:rPr>
            <a:t>Females</a:t>
          </a:r>
        </a:p>
        <a:p>
          <a:pPr algn="r"/>
          <a:endParaRPr lang="en-IN" sz="1600" b="0">
            <a:solidFill>
              <a:schemeClr val="bg1"/>
            </a:solidFill>
          </a:endParaRPr>
        </a:p>
      </xdr:txBody>
    </xdr:sp>
    <xdr:clientData/>
  </xdr:twoCellAnchor>
  <xdr:twoCellAnchor>
    <xdr:from>
      <xdr:col>5</xdr:col>
      <xdr:colOff>551447</xdr:colOff>
      <xdr:row>24</xdr:row>
      <xdr:rowOff>150395</xdr:rowOff>
    </xdr:from>
    <xdr:to>
      <xdr:col>6</xdr:col>
      <xdr:colOff>40105</xdr:colOff>
      <xdr:row>25</xdr:row>
      <xdr:rowOff>70185</xdr:rowOff>
    </xdr:to>
    <xdr:sp macro="" textlink="">
      <xdr:nvSpPr>
        <xdr:cNvPr id="40" name="Oval 39">
          <a:extLst>
            <a:ext uri="{FF2B5EF4-FFF2-40B4-BE49-F238E27FC236}">
              <a16:creationId xmlns:a16="http://schemas.microsoft.com/office/drawing/2014/main" id="{3E015E57-03FE-4348-9706-40A7F3A862E8}"/>
            </a:ext>
          </a:extLst>
        </xdr:cNvPr>
        <xdr:cNvSpPr/>
      </xdr:nvSpPr>
      <xdr:spPr>
        <a:xfrm>
          <a:off x="3609473" y="4481763"/>
          <a:ext cx="100264" cy="100264"/>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396240</xdr:colOff>
      <xdr:row>28</xdr:row>
      <xdr:rowOff>10025</xdr:rowOff>
    </xdr:from>
    <xdr:to>
      <xdr:col>2</xdr:col>
      <xdr:colOff>591552</xdr:colOff>
      <xdr:row>31</xdr:row>
      <xdr:rowOff>4767</xdr:rowOff>
    </xdr:to>
    <xdr:graphicFrame macro="">
      <xdr:nvGraphicFramePr>
        <xdr:cNvPr id="20" name="Chart 19">
          <a:extLst>
            <a:ext uri="{FF2B5EF4-FFF2-40B4-BE49-F238E27FC236}">
              <a16:creationId xmlns:a16="http://schemas.microsoft.com/office/drawing/2014/main" id="{C4DB4C70-F1E4-4F07-A65D-F270DF79A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30</xdr:row>
      <xdr:rowOff>9624</xdr:rowOff>
    </xdr:from>
    <xdr:to>
      <xdr:col>2</xdr:col>
      <xdr:colOff>576312</xdr:colOff>
      <xdr:row>33</xdr:row>
      <xdr:rowOff>4366</xdr:rowOff>
    </xdr:to>
    <xdr:graphicFrame macro="">
      <xdr:nvGraphicFramePr>
        <xdr:cNvPr id="25" name="Chart 24">
          <a:extLst>
            <a:ext uri="{FF2B5EF4-FFF2-40B4-BE49-F238E27FC236}">
              <a16:creationId xmlns:a16="http://schemas.microsoft.com/office/drawing/2014/main" id="{58594657-C1D0-4A00-811A-43E6455B7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371374</xdr:colOff>
      <xdr:row>32</xdr:row>
      <xdr:rowOff>9223</xdr:rowOff>
    </xdr:from>
    <xdr:to>
      <xdr:col>2</xdr:col>
      <xdr:colOff>566686</xdr:colOff>
      <xdr:row>35</xdr:row>
      <xdr:rowOff>3965</xdr:rowOff>
    </xdr:to>
    <xdr:graphicFrame macro="">
      <xdr:nvGraphicFramePr>
        <xdr:cNvPr id="35" name="Chart 34">
          <a:extLst>
            <a:ext uri="{FF2B5EF4-FFF2-40B4-BE49-F238E27FC236}">
              <a16:creationId xmlns:a16="http://schemas.microsoft.com/office/drawing/2014/main" id="{D9D2C908-D1CF-4E3D-926A-EF901DF97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433132</xdr:colOff>
      <xdr:row>28</xdr:row>
      <xdr:rowOff>10026</xdr:rowOff>
    </xdr:from>
    <xdr:to>
      <xdr:col>2</xdr:col>
      <xdr:colOff>160421</xdr:colOff>
      <xdr:row>29</xdr:row>
      <xdr:rowOff>12028</xdr:rowOff>
    </xdr:to>
    <xdr:sp macro="" textlink="">
      <xdr:nvSpPr>
        <xdr:cNvPr id="41" name="TextBox 40">
          <a:extLst>
            <a:ext uri="{FF2B5EF4-FFF2-40B4-BE49-F238E27FC236}">
              <a16:creationId xmlns:a16="http://schemas.microsoft.com/office/drawing/2014/main" id="{B0686B59-3EB9-0EA1-14E5-92A44D7956E9}"/>
            </a:ext>
          </a:extLst>
        </xdr:cNvPr>
        <xdr:cNvSpPr txBox="1"/>
      </xdr:nvSpPr>
      <xdr:spPr>
        <a:xfrm>
          <a:off x="433132" y="5063289"/>
          <a:ext cx="950500" cy="18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i="0" u="none" strike="noStrike">
              <a:solidFill>
                <a:schemeClr val="bg1"/>
              </a:solidFill>
              <a:effectLst/>
              <a:latin typeface="+mn-lt"/>
              <a:ea typeface="+mn-ea"/>
              <a:cs typeface="+mn-cs"/>
            </a:rPr>
            <a:t>Branch</a:t>
          </a:r>
          <a:r>
            <a:rPr lang="en-IN" sz="1100" b="0" i="0" u="none" strike="noStrike" baseline="0">
              <a:solidFill>
                <a:schemeClr val="bg1"/>
              </a:solidFill>
              <a:effectLst/>
              <a:latin typeface="+mn-lt"/>
              <a:ea typeface="+mn-ea"/>
              <a:cs typeface="+mn-cs"/>
            </a:rPr>
            <a:t> Office</a:t>
          </a:r>
          <a:endParaRPr lang="en-IN" sz="1100" b="0">
            <a:solidFill>
              <a:schemeClr val="bg1"/>
            </a:solidFill>
          </a:endParaRPr>
        </a:p>
      </xdr:txBody>
    </xdr:sp>
    <xdr:clientData/>
  </xdr:twoCellAnchor>
  <xdr:twoCellAnchor>
    <xdr:from>
      <xdr:col>0</xdr:col>
      <xdr:colOff>433133</xdr:colOff>
      <xdr:row>30</xdr:row>
      <xdr:rowOff>18984</xdr:rowOff>
    </xdr:from>
    <xdr:to>
      <xdr:col>2</xdr:col>
      <xdr:colOff>320842</xdr:colOff>
      <xdr:row>31</xdr:row>
      <xdr:rowOff>15105</xdr:rowOff>
    </xdr:to>
    <xdr:sp macro="" textlink="">
      <xdr:nvSpPr>
        <xdr:cNvPr id="43" name="TextBox 42">
          <a:extLst>
            <a:ext uri="{FF2B5EF4-FFF2-40B4-BE49-F238E27FC236}">
              <a16:creationId xmlns:a16="http://schemas.microsoft.com/office/drawing/2014/main" id="{93A19BE0-3834-1232-AC5F-ED6BFD8FA497}"/>
            </a:ext>
          </a:extLst>
        </xdr:cNvPr>
        <xdr:cNvSpPr txBox="1"/>
      </xdr:nvSpPr>
      <xdr:spPr>
        <a:xfrm>
          <a:off x="433133" y="5433195"/>
          <a:ext cx="1110920" cy="176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a:solidFill>
                <a:schemeClr val="bg1"/>
              </a:solidFill>
            </a:rPr>
            <a:t>Head</a:t>
          </a:r>
          <a:r>
            <a:rPr lang="en-IN" sz="1100" b="0" baseline="0">
              <a:solidFill>
                <a:schemeClr val="bg1"/>
              </a:solidFill>
            </a:rPr>
            <a:t> Office</a:t>
          </a:r>
          <a:endParaRPr lang="en-IN" sz="1100" b="0">
            <a:solidFill>
              <a:schemeClr val="bg1"/>
            </a:solidFill>
          </a:endParaRPr>
        </a:p>
      </xdr:txBody>
    </xdr:sp>
    <xdr:clientData/>
  </xdr:twoCellAnchor>
  <xdr:twoCellAnchor>
    <xdr:from>
      <xdr:col>0</xdr:col>
      <xdr:colOff>423107</xdr:colOff>
      <xdr:row>32</xdr:row>
      <xdr:rowOff>22060</xdr:rowOff>
    </xdr:from>
    <xdr:to>
      <xdr:col>2</xdr:col>
      <xdr:colOff>210552</xdr:colOff>
      <xdr:row>33</xdr:row>
      <xdr:rowOff>24062</xdr:rowOff>
    </xdr:to>
    <xdr:sp macro="" textlink="">
      <xdr:nvSpPr>
        <xdr:cNvPr id="50" name="TextBox 49">
          <a:extLst>
            <a:ext uri="{FF2B5EF4-FFF2-40B4-BE49-F238E27FC236}">
              <a16:creationId xmlns:a16="http://schemas.microsoft.com/office/drawing/2014/main" id="{87E52AD8-B38F-2F3A-399C-FE5A4EE63D39}"/>
            </a:ext>
          </a:extLst>
        </xdr:cNvPr>
        <xdr:cNvSpPr txBox="1"/>
      </xdr:nvSpPr>
      <xdr:spPr>
        <a:xfrm>
          <a:off x="423107" y="5797218"/>
          <a:ext cx="1010656" cy="18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a:solidFill>
                <a:schemeClr val="bg1"/>
              </a:solidFill>
            </a:rPr>
            <a:t>Remote</a:t>
          </a:r>
        </a:p>
      </xdr:txBody>
    </xdr:sp>
    <xdr:clientData/>
  </xdr:twoCellAnchor>
  <xdr:twoCellAnchor>
    <xdr:from>
      <xdr:col>2</xdr:col>
      <xdr:colOff>413082</xdr:colOff>
      <xdr:row>28</xdr:row>
      <xdr:rowOff>170446</xdr:rowOff>
    </xdr:from>
    <xdr:to>
      <xdr:col>3</xdr:col>
      <xdr:colOff>340897</xdr:colOff>
      <xdr:row>30</xdr:row>
      <xdr:rowOff>16039</xdr:rowOff>
    </xdr:to>
    <xdr:sp macro="" textlink="pivot!N14">
      <xdr:nvSpPr>
        <xdr:cNvPr id="51" name="TextBox 50">
          <a:extLst>
            <a:ext uri="{FF2B5EF4-FFF2-40B4-BE49-F238E27FC236}">
              <a16:creationId xmlns:a16="http://schemas.microsoft.com/office/drawing/2014/main" id="{4F1521A1-7E5F-A938-22FB-A2916BE18D16}"/>
            </a:ext>
          </a:extLst>
        </xdr:cNvPr>
        <xdr:cNvSpPr txBox="1"/>
      </xdr:nvSpPr>
      <xdr:spPr>
        <a:xfrm>
          <a:off x="1636293" y="5223709"/>
          <a:ext cx="539420" cy="206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44ABAEC-49D7-4AB1-A5AE-5ADEB2475FD2}" type="TxLink">
            <a:rPr lang="en-US" sz="1100" b="0" i="0" u="none" strike="noStrike">
              <a:solidFill>
                <a:schemeClr val="bg1"/>
              </a:solidFill>
              <a:latin typeface="Aptos Narrow"/>
            </a:rPr>
            <a:pPr algn="l"/>
            <a:t>46%</a:t>
          </a:fld>
          <a:endParaRPr lang="en-IN" sz="1100" b="0">
            <a:solidFill>
              <a:schemeClr val="bg1"/>
            </a:solidFill>
          </a:endParaRPr>
        </a:p>
      </xdr:txBody>
    </xdr:sp>
    <xdr:clientData/>
  </xdr:twoCellAnchor>
  <xdr:twoCellAnchor>
    <xdr:from>
      <xdr:col>2</xdr:col>
      <xdr:colOff>413082</xdr:colOff>
      <xdr:row>30</xdr:row>
      <xdr:rowOff>163069</xdr:rowOff>
    </xdr:from>
    <xdr:to>
      <xdr:col>3</xdr:col>
      <xdr:colOff>431938</xdr:colOff>
      <xdr:row>32</xdr:row>
      <xdr:rowOff>2005</xdr:rowOff>
    </xdr:to>
    <xdr:sp macro="" textlink="pivot!N15">
      <xdr:nvSpPr>
        <xdr:cNvPr id="52" name="TextBox 51">
          <a:extLst>
            <a:ext uri="{FF2B5EF4-FFF2-40B4-BE49-F238E27FC236}">
              <a16:creationId xmlns:a16="http://schemas.microsoft.com/office/drawing/2014/main" id="{9A1C048E-0574-4D8E-1E5D-C09E7AC16417}"/>
            </a:ext>
          </a:extLst>
        </xdr:cNvPr>
        <xdr:cNvSpPr txBox="1"/>
      </xdr:nvSpPr>
      <xdr:spPr>
        <a:xfrm>
          <a:off x="1636293" y="5577280"/>
          <a:ext cx="630461" cy="199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11AFCA0-3561-4127-85CB-A5C086AAD424}" type="TxLink">
            <a:rPr lang="en-US" sz="1100" b="0" i="0" u="none" strike="noStrike">
              <a:solidFill>
                <a:schemeClr val="bg1"/>
              </a:solidFill>
              <a:latin typeface="Aptos Narrow"/>
            </a:rPr>
            <a:pPr algn="l"/>
            <a:t>16%</a:t>
          </a:fld>
          <a:endParaRPr lang="en-IN" sz="1100" b="0">
            <a:solidFill>
              <a:schemeClr val="bg1"/>
            </a:solidFill>
          </a:endParaRPr>
        </a:p>
      </xdr:txBody>
    </xdr:sp>
    <xdr:clientData/>
  </xdr:twoCellAnchor>
  <xdr:twoCellAnchor>
    <xdr:from>
      <xdr:col>2</xdr:col>
      <xdr:colOff>403056</xdr:colOff>
      <xdr:row>33</xdr:row>
      <xdr:rowOff>2006</xdr:rowOff>
    </xdr:from>
    <xdr:to>
      <xdr:col>3</xdr:col>
      <xdr:colOff>365011</xdr:colOff>
      <xdr:row>34</xdr:row>
      <xdr:rowOff>28075</xdr:rowOff>
    </xdr:to>
    <xdr:sp macro="" textlink="pivot!N16">
      <xdr:nvSpPr>
        <xdr:cNvPr id="54" name="TextBox 53">
          <a:extLst>
            <a:ext uri="{FF2B5EF4-FFF2-40B4-BE49-F238E27FC236}">
              <a16:creationId xmlns:a16="http://schemas.microsoft.com/office/drawing/2014/main" id="{56F20679-6AFE-0B60-CAB5-276F4026D49D}"/>
            </a:ext>
          </a:extLst>
        </xdr:cNvPr>
        <xdr:cNvSpPr txBox="1"/>
      </xdr:nvSpPr>
      <xdr:spPr>
        <a:xfrm>
          <a:off x="1626267" y="5957638"/>
          <a:ext cx="573560" cy="20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248703-EA01-4517-968F-52CC2015D647}" type="TxLink">
            <a:rPr lang="en-US" sz="1100" b="0" i="0" u="none" strike="noStrike">
              <a:solidFill>
                <a:schemeClr val="bg1"/>
              </a:solidFill>
              <a:latin typeface="Aptos Narrow"/>
            </a:rPr>
            <a:pPr algn="l"/>
            <a:t>38%</a:t>
          </a:fld>
          <a:endParaRPr lang="en-IN" sz="1100" b="0">
            <a:solidFill>
              <a:schemeClr val="bg1"/>
            </a:solidFill>
          </a:endParaRPr>
        </a:p>
      </xdr:txBody>
    </xdr:sp>
    <xdr:clientData/>
  </xdr:twoCellAnchor>
  <xdr:twoCellAnchor>
    <xdr:from>
      <xdr:col>0</xdr:col>
      <xdr:colOff>403056</xdr:colOff>
      <xdr:row>25</xdr:row>
      <xdr:rowOff>70179</xdr:rowOff>
    </xdr:from>
    <xdr:to>
      <xdr:col>2</xdr:col>
      <xdr:colOff>240631</xdr:colOff>
      <xdr:row>26</xdr:row>
      <xdr:rowOff>140368</xdr:rowOff>
    </xdr:to>
    <xdr:sp macro="" textlink="">
      <xdr:nvSpPr>
        <xdr:cNvPr id="55" name="TextBox 54">
          <a:extLst>
            <a:ext uri="{FF2B5EF4-FFF2-40B4-BE49-F238E27FC236}">
              <a16:creationId xmlns:a16="http://schemas.microsoft.com/office/drawing/2014/main" id="{ABF74D8A-4353-EF2F-520C-C84A68625506}"/>
            </a:ext>
          </a:extLst>
        </xdr:cNvPr>
        <xdr:cNvSpPr txBox="1"/>
      </xdr:nvSpPr>
      <xdr:spPr>
        <a:xfrm>
          <a:off x="403056" y="4582021"/>
          <a:ext cx="1060786" cy="25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E5B244"/>
              </a:solidFill>
            </a:rPr>
            <a:t>Work</a:t>
          </a:r>
          <a:r>
            <a:rPr lang="en-IN" sz="1200" b="1" baseline="0">
              <a:solidFill>
                <a:srgbClr val="E5B244"/>
              </a:solidFill>
            </a:rPr>
            <a:t> location</a:t>
          </a:r>
          <a:endParaRPr lang="en-IN" sz="1200" b="1">
            <a:solidFill>
              <a:srgbClr val="E5B244"/>
            </a:solidFill>
          </a:endParaRPr>
        </a:p>
      </xdr:txBody>
    </xdr:sp>
    <xdr:clientData/>
  </xdr:twoCellAnchor>
  <xdr:twoCellAnchor>
    <xdr:from>
      <xdr:col>0</xdr:col>
      <xdr:colOff>403056</xdr:colOff>
      <xdr:row>26</xdr:row>
      <xdr:rowOff>80203</xdr:rowOff>
    </xdr:from>
    <xdr:to>
      <xdr:col>3</xdr:col>
      <xdr:colOff>431134</xdr:colOff>
      <xdr:row>29</xdr:row>
      <xdr:rowOff>20051</xdr:rowOff>
    </xdr:to>
    <xdr:sp macro="" textlink="">
      <xdr:nvSpPr>
        <xdr:cNvPr id="59" name="TextBox 58">
          <a:extLst>
            <a:ext uri="{FF2B5EF4-FFF2-40B4-BE49-F238E27FC236}">
              <a16:creationId xmlns:a16="http://schemas.microsoft.com/office/drawing/2014/main" id="{DCF62895-4739-0B8C-82AD-421F3B1560A9}"/>
            </a:ext>
          </a:extLst>
        </xdr:cNvPr>
        <xdr:cNvSpPr txBox="1"/>
      </xdr:nvSpPr>
      <xdr:spPr>
        <a:xfrm>
          <a:off x="403056" y="4772519"/>
          <a:ext cx="1862894" cy="481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a:solidFill>
                <a:schemeClr val="bg1">
                  <a:lumMod val="75000"/>
                </a:schemeClr>
              </a:solidFill>
            </a:rPr>
            <a:t>Employess</a:t>
          </a:r>
          <a:r>
            <a:rPr lang="en-IN" sz="1000" b="0" baseline="0">
              <a:solidFill>
                <a:schemeClr val="bg1">
                  <a:lumMod val="75000"/>
                </a:schemeClr>
              </a:solidFill>
            </a:rPr>
            <a:t> to workplace</a:t>
          </a:r>
          <a:endParaRPr lang="en-IN" sz="1000" b="0">
            <a:solidFill>
              <a:schemeClr val="bg1">
                <a:lumMod val="75000"/>
              </a:schemeClr>
            </a:solidFill>
          </a:endParaRPr>
        </a:p>
      </xdr:txBody>
    </xdr:sp>
    <xdr:clientData/>
  </xdr:twoCellAnchor>
  <xdr:twoCellAnchor>
    <xdr:from>
      <xdr:col>8</xdr:col>
      <xdr:colOff>172450</xdr:colOff>
      <xdr:row>27</xdr:row>
      <xdr:rowOff>36094</xdr:rowOff>
    </xdr:from>
    <xdr:to>
      <xdr:col>9</xdr:col>
      <xdr:colOff>511344</xdr:colOff>
      <xdr:row>28</xdr:row>
      <xdr:rowOff>166436</xdr:rowOff>
    </xdr:to>
    <xdr:sp macro="" textlink="">
      <xdr:nvSpPr>
        <xdr:cNvPr id="60" name="TextBox 59">
          <a:extLst>
            <a:ext uri="{FF2B5EF4-FFF2-40B4-BE49-F238E27FC236}">
              <a16:creationId xmlns:a16="http://schemas.microsoft.com/office/drawing/2014/main" id="{2BA8B33F-612B-9FEB-5984-2EB799526320}"/>
            </a:ext>
          </a:extLst>
        </xdr:cNvPr>
        <xdr:cNvSpPr txBox="1"/>
      </xdr:nvSpPr>
      <xdr:spPr>
        <a:xfrm>
          <a:off x="5065292" y="4908883"/>
          <a:ext cx="950499" cy="31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rPr>
            <a:t>Managers</a:t>
          </a:r>
        </a:p>
      </xdr:txBody>
    </xdr:sp>
    <xdr:clientData/>
  </xdr:twoCellAnchor>
  <xdr:twoCellAnchor>
    <xdr:from>
      <xdr:col>8</xdr:col>
      <xdr:colOff>172450</xdr:colOff>
      <xdr:row>28</xdr:row>
      <xdr:rowOff>114797</xdr:rowOff>
    </xdr:from>
    <xdr:to>
      <xdr:col>10</xdr:col>
      <xdr:colOff>60159</xdr:colOff>
      <xdr:row>30</xdr:row>
      <xdr:rowOff>54645</xdr:rowOff>
    </xdr:to>
    <xdr:sp macro="" textlink="">
      <xdr:nvSpPr>
        <xdr:cNvPr id="61" name="TextBox 60">
          <a:extLst>
            <a:ext uri="{FF2B5EF4-FFF2-40B4-BE49-F238E27FC236}">
              <a16:creationId xmlns:a16="http://schemas.microsoft.com/office/drawing/2014/main" id="{D9B1B5A8-E0B8-0FC9-D02C-17E4632C6FA3}"/>
            </a:ext>
          </a:extLst>
        </xdr:cNvPr>
        <xdr:cNvSpPr txBox="1"/>
      </xdr:nvSpPr>
      <xdr:spPr>
        <a:xfrm>
          <a:off x="5065292" y="5168060"/>
          <a:ext cx="1110920" cy="30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rPr>
            <a:t>HR</a:t>
          </a:r>
          <a:r>
            <a:rPr lang="en-IN" sz="1100" b="0" baseline="0">
              <a:solidFill>
                <a:schemeClr val="bg1"/>
              </a:solidFill>
            </a:rPr>
            <a:t> Specialists</a:t>
          </a:r>
          <a:endParaRPr lang="en-IN" sz="1100" b="0">
            <a:solidFill>
              <a:schemeClr val="bg1"/>
            </a:solidFill>
          </a:endParaRPr>
        </a:p>
      </xdr:txBody>
    </xdr:sp>
    <xdr:clientData/>
  </xdr:twoCellAnchor>
  <xdr:twoCellAnchor>
    <xdr:from>
      <xdr:col>8</xdr:col>
      <xdr:colOff>172450</xdr:colOff>
      <xdr:row>30</xdr:row>
      <xdr:rowOff>3006</xdr:rowOff>
    </xdr:from>
    <xdr:to>
      <xdr:col>9</xdr:col>
      <xdr:colOff>571501</xdr:colOff>
      <xdr:row>31</xdr:row>
      <xdr:rowOff>133350</xdr:rowOff>
    </xdr:to>
    <xdr:sp macro="" textlink="">
      <xdr:nvSpPr>
        <xdr:cNvPr id="62" name="TextBox 61">
          <a:extLst>
            <a:ext uri="{FF2B5EF4-FFF2-40B4-BE49-F238E27FC236}">
              <a16:creationId xmlns:a16="http://schemas.microsoft.com/office/drawing/2014/main" id="{7162385F-EA94-12D1-94D7-3D3986BBC3AB}"/>
            </a:ext>
          </a:extLst>
        </xdr:cNvPr>
        <xdr:cNvSpPr txBox="1"/>
      </xdr:nvSpPr>
      <xdr:spPr>
        <a:xfrm>
          <a:off x="5065292" y="5417217"/>
          <a:ext cx="1010656" cy="3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rPr>
            <a:t>Developers</a:t>
          </a:r>
        </a:p>
      </xdr:txBody>
    </xdr:sp>
    <xdr:clientData/>
  </xdr:twoCellAnchor>
  <xdr:twoCellAnchor>
    <xdr:from>
      <xdr:col>8</xdr:col>
      <xdr:colOff>172450</xdr:colOff>
      <xdr:row>31</xdr:row>
      <xdr:rowOff>81711</xdr:rowOff>
    </xdr:from>
    <xdr:to>
      <xdr:col>9</xdr:col>
      <xdr:colOff>571501</xdr:colOff>
      <xdr:row>33</xdr:row>
      <xdr:rowOff>31580</xdr:rowOff>
    </xdr:to>
    <xdr:sp macro="" textlink="">
      <xdr:nvSpPr>
        <xdr:cNvPr id="63" name="TextBox 62">
          <a:extLst>
            <a:ext uri="{FF2B5EF4-FFF2-40B4-BE49-F238E27FC236}">
              <a16:creationId xmlns:a16="http://schemas.microsoft.com/office/drawing/2014/main" id="{6319C5A9-FA30-AC74-0E6A-18B1A74A4A67}"/>
            </a:ext>
          </a:extLst>
        </xdr:cNvPr>
        <xdr:cNvSpPr txBox="1"/>
      </xdr:nvSpPr>
      <xdr:spPr>
        <a:xfrm>
          <a:off x="5065292" y="5676395"/>
          <a:ext cx="1010656" cy="3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rPr>
            <a:t>Designers</a:t>
          </a:r>
        </a:p>
      </xdr:txBody>
    </xdr:sp>
    <xdr:clientData/>
  </xdr:twoCellAnchor>
  <xdr:twoCellAnchor>
    <xdr:from>
      <xdr:col>8</xdr:col>
      <xdr:colOff>172450</xdr:colOff>
      <xdr:row>32</xdr:row>
      <xdr:rowOff>160415</xdr:rowOff>
    </xdr:from>
    <xdr:to>
      <xdr:col>9</xdr:col>
      <xdr:colOff>571501</xdr:colOff>
      <xdr:row>34</xdr:row>
      <xdr:rowOff>110285</xdr:rowOff>
    </xdr:to>
    <xdr:sp macro="" textlink="">
      <xdr:nvSpPr>
        <xdr:cNvPr id="64" name="TextBox 63">
          <a:extLst>
            <a:ext uri="{FF2B5EF4-FFF2-40B4-BE49-F238E27FC236}">
              <a16:creationId xmlns:a16="http://schemas.microsoft.com/office/drawing/2014/main" id="{AD2A6894-9CAB-9D01-6B98-062CF5C1B688}"/>
            </a:ext>
          </a:extLst>
        </xdr:cNvPr>
        <xdr:cNvSpPr txBox="1"/>
      </xdr:nvSpPr>
      <xdr:spPr>
        <a:xfrm>
          <a:off x="5065292" y="5935573"/>
          <a:ext cx="1010656" cy="310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bg1"/>
              </a:solidFill>
            </a:rPr>
            <a:t>Analysts</a:t>
          </a:r>
        </a:p>
      </xdr:txBody>
    </xdr:sp>
    <xdr:clientData/>
  </xdr:twoCellAnchor>
  <xdr:twoCellAnchor>
    <xdr:from>
      <xdr:col>2</xdr:col>
      <xdr:colOff>411079</xdr:colOff>
      <xdr:row>16</xdr:row>
      <xdr:rowOff>120315</xdr:rowOff>
    </xdr:from>
    <xdr:to>
      <xdr:col>3</xdr:col>
      <xdr:colOff>210552</xdr:colOff>
      <xdr:row>17</xdr:row>
      <xdr:rowOff>160421</xdr:rowOff>
    </xdr:to>
    <xdr:sp macro="" textlink="pivot!R11">
      <xdr:nvSpPr>
        <xdr:cNvPr id="65" name="TextBox 64">
          <a:extLst>
            <a:ext uri="{FF2B5EF4-FFF2-40B4-BE49-F238E27FC236}">
              <a16:creationId xmlns:a16="http://schemas.microsoft.com/office/drawing/2014/main" id="{387256F8-907C-ADEF-7287-DD49706BF60A}"/>
            </a:ext>
          </a:extLst>
        </xdr:cNvPr>
        <xdr:cNvSpPr txBox="1"/>
      </xdr:nvSpPr>
      <xdr:spPr>
        <a:xfrm>
          <a:off x="1634290" y="3007894"/>
          <a:ext cx="411078" cy="22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4FE990D4-3684-4D22-8E7D-CEC75CC5D0BA}" type="TxLink">
            <a:rPr lang="en-US" sz="1600" b="1" i="0" u="none" strike="noStrike">
              <a:solidFill>
                <a:srgbClr val="E5B244"/>
              </a:solidFill>
              <a:latin typeface="Aptos Narrow"/>
            </a:rPr>
            <a:pPr algn="r"/>
            <a:t>12</a:t>
          </a:fld>
          <a:endParaRPr lang="en-IN" sz="1600" b="1">
            <a:solidFill>
              <a:srgbClr val="E5B244"/>
            </a:solidFill>
          </a:endParaRPr>
        </a:p>
      </xdr:txBody>
    </xdr:sp>
    <xdr:clientData/>
  </xdr:twoCellAnchor>
  <xdr:twoCellAnchor>
    <xdr:from>
      <xdr:col>2</xdr:col>
      <xdr:colOff>411078</xdr:colOff>
      <xdr:row>17</xdr:row>
      <xdr:rowOff>142874</xdr:rowOff>
    </xdr:from>
    <xdr:to>
      <xdr:col>3</xdr:col>
      <xdr:colOff>210552</xdr:colOff>
      <xdr:row>19</xdr:row>
      <xdr:rowOff>62665</xdr:rowOff>
    </xdr:to>
    <xdr:sp macro="" textlink="pivot!R12">
      <xdr:nvSpPr>
        <xdr:cNvPr id="66" name="TextBox 65">
          <a:extLst>
            <a:ext uri="{FF2B5EF4-FFF2-40B4-BE49-F238E27FC236}">
              <a16:creationId xmlns:a16="http://schemas.microsoft.com/office/drawing/2014/main" id="{FD38746F-CD1B-04E7-26D6-1B998D0E6553}"/>
            </a:ext>
          </a:extLst>
        </xdr:cNvPr>
        <xdr:cNvSpPr txBox="1"/>
      </xdr:nvSpPr>
      <xdr:spPr>
        <a:xfrm>
          <a:off x="1634289" y="3210927"/>
          <a:ext cx="411079" cy="280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2382A97-6EC8-4EC5-A012-754FA75ED6A1}" type="TxLink">
            <a:rPr lang="en-US" sz="1600" b="1" i="0" u="none" strike="noStrike">
              <a:solidFill>
                <a:srgbClr val="E5B244"/>
              </a:solidFill>
              <a:latin typeface="Aptos Narrow"/>
            </a:rPr>
            <a:pPr algn="r"/>
            <a:t>11</a:t>
          </a:fld>
          <a:endParaRPr lang="en-IN" sz="1600" b="1">
            <a:solidFill>
              <a:srgbClr val="E5B244"/>
            </a:solidFill>
          </a:endParaRPr>
        </a:p>
      </xdr:txBody>
    </xdr:sp>
    <xdr:clientData/>
  </xdr:twoCellAnchor>
  <xdr:twoCellAnchor>
    <xdr:from>
      <xdr:col>2</xdr:col>
      <xdr:colOff>441157</xdr:colOff>
      <xdr:row>19</xdr:row>
      <xdr:rowOff>45118</xdr:rowOff>
    </xdr:from>
    <xdr:to>
      <xdr:col>3</xdr:col>
      <xdr:colOff>210552</xdr:colOff>
      <xdr:row>20</xdr:row>
      <xdr:rowOff>145381</xdr:rowOff>
    </xdr:to>
    <xdr:sp macro="" textlink="pivot!R13">
      <xdr:nvSpPr>
        <xdr:cNvPr id="67" name="TextBox 66">
          <a:extLst>
            <a:ext uri="{FF2B5EF4-FFF2-40B4-BE49-F238E27FC236}">
              <a16:creationId xmlns:a16="http://schemas.microsoft.com/office/drawing/2014/main" id="{DBC10C69-9B03-FC7E-AA2F-E12C34F8CE1F}"/>
            </a:ext>
          </a:extLst>
        </xdr:cNvPr>
        <xdr:cNvSpPr txBox="1"/>
      </xdr:nvSpPr>
      <xdr:spPr>
        <a:xfrm>
          <a:off x="1664368" y="3474118"/>
          <a:ext cx="381000"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63502FE-ADD1-4147-95D6-A157545C749D}" type="TxLink">
            <a:rPr lang="en-US" sz="1600" b="1" i="0" u="none" strike="noStrike">
              <a:solidFill>
                <a:srgbClr val="E5B244"/>
              </a:solidFill>
              <a:latin typeface="Aptos Narrow"/>
            </a:rPr>
            <a:pPr algn="r"/>
            <a:t>7</a:t>
          </a:fld>
          <a:endParaRPr lang="en-IN" sz="1600" b="1">
            <a:solidFill>
              <a:srgbClr val="E5B244"/>
            </a:solidFill>
          </a:endParaRPr>
        </a:p>
      </xdr:txBody>
    </xdr:sp>
    <xdr:clientData/>
  </xdr:twoCellAnchor>
  <xdr:twoCellAnchor>
    <xdr:from>
      <xdr:col>2</xdr:col>
      <xdr:colOff>391026</xdr:colOff>
      <xdr:row>20</xdr:row>
      <xdr:rowOff>127834</xdr:rowOff>
    </xdr:from>
    <xdr:to>
      <xdr:col>3</xdr:col>
      <xdr:colOff>210552</xdr:colOff>
      <xdr:row>22</xdr:row>
      <xdr:rowOff>77703</xdr:rowOff>
    </xdr:to>
    <xdr:sp macro="" textlink="pivot!R14">
      <xdr:nvSpPr>
        <xdr:cNvPr id="68" name="TextBox 67">
          <a:extLst>
            <a:ext uri="{FF2B5EF4-FFF2-40B4-BE49-F238E27FC236}">
              <a16:creationId xmlns:a16="http://schemas.microsoft.com/office/drawing/2014/main" id="{982F2F85-1B62-8C69-5BAD-2AFED846FA04}"/>
            </a:ext>
          </a:extLst>
        </xdr:cNvPr>
        <xdr:cNvSpPr txBox="1"/>
      </xdr:nvSpPr>
      <xdr:spPr>
        <a:xfrm>
          <a:off x="1614237" y="3737308"/>
          <a:ext cx="431131" cy="31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61E3568-660E-46D9-8F7A-6F7814442E6B}" type="TxLink">
            <a:rPr lang="en-US" sz="1600" b="1" i="0" u="none" strike="noStrike">
              <a:solidFill>
                <a:srgbClr val="E5B244"/>
              </a:solidFill>
              <a:latin typeface="Aptos Narrow"/>
            </a:rPr>
            <a:pPr algn="r"/>
            <a:t>11</a:t>
          </a:fld>
          <a:endParaRPr lang="en-IN" sz="1600" b="1">
            <a:solidFill>
              <a:srgbClr val="E5B244"/>
            </a:solidFill>
          </a:endParaRPr>
        </a:p>
      </xdr:txBody>
    </xdr:sp>
    <xdr:clientData/>
  </xdr:twoCellAnchor>
  <xdr:twoCellAnchor>
    <xdr:from>
      <xdr:col>2</xdr:col>
      <xdr:colOff>501315</xdr:colOff>
      <xdr:row>22</xdr:row>
      <xdr:rowOff>60158</xdr:rowOff>
    </xdr:from>
    <xdr:to>
      <xdr:col>3</xdr:col>
      <xdr:colOff>210552</xdr:colOff>
      <xdr:row>23</xdr:row>
      <xdr:rowOff>160420</xdr:rowOff>
    </xdr:to>
    <xdr:sp macro="" textlink="pivot!R15">
      <xdr:nvSpPr>
        <xdr:cNvPr id="69" name="TextBox 68">
          <a:extLst>
            <a:ext uri="{FF2B5EF4-FFF2-40B4-BE49-F238E27FC236}">
              <a16:creationId xmlns:a16="http://schemas.microsoft.com/office/drawing/2014/main" id="{4B4EC98E-CE1E-012E-F4E1-EF528FE660DF}"/>
            </a:ext>
          </a:extLst>
        </xdr:cNvPr>
        <xdr:cNvSpPr txBox="1"/>
      </xdr:nvSpPr>
      <xdr:spPr>
        <a:xfrm>
          <a:off x="1724526" y="4030579"/>
          <a:ext cx="320842" cy="280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19BF21C-5AFA-4543-9ADE-8D51A5E83217}" type="TxLink">
            <a:rPr lang="en-US" sz="1600" b="1" i="0" u="none" strike="noStrike">
              <a:solidFill>
                <a:srgbClr val="E5B244"/>
              </a:solidFill>
              <a:latin typeface="Aptos Narrow"/>
            </a:rPr>
            <a:pPr algn="r"/>
            <a:t>9</a:t>
          </a:fld>
          <a:endParaRPr lang="en-IN" sz="1600" b="1">
            <a:solidFill>
              <a:srgbClr val="E5B244"/>
            </a:solidFill>
          </a:endParaRPr>
        </a:p>
      </xdr:txBody>
    </xdr:sp>
    <xdr:clientData/>
  </xdr:twoCellAnchor>
  <xdr:twoCellAnchor>
    <xdr:from>
      <xdr:col>0</xdr:col>
      <xdr:colOff>403056</xdr:colOff>
      <xdr:row>12</xdr:row>
      <xdr:rowOff>160418</xdr:rowOff>
    </xdr:from>
    <xdr:to>
      <xdr:col>2</xdr:col>
      <xdr:colOff>350920</xdr:colOff>
      <xdr:row>16</xdr:row>
      <xdr:rowOff>140365</xdr:rowOff>
    </xdr:to>
    <xdr:sp macro="" textlink="">
      <xdr:nvSpPr>
        <xdr:cNvPr id="75" name="TextBox 74">
          <a:extLst>
            <a:ext uri="{FF2B5EF4-FFF2-40B4-BE49-F238E27FC236}">
              <a16:creationId xmlns:a16="http://schemas.microsoft.com/office/drawing/2014/main" id="{2A326FCD-4558-65CA-BC87-22CDDD42A718}"/>
            </a:ext>
          </a:extLst>
        </xdr:cNvPr>
        <xdr:cNvSpPr txBox="1"/>
      </xdr:nvSpPr>
      <xdr:spPr>
        <a:xfrm>
          <a:off x="403056" y="2326102"/>
          <a:ext cx="1171075" cy="70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E5B244"/>
              </a:solidFill>
            </a:rPr>
            <a:t>Skills</a:t>
          </a:r>
        </a:p>
        <a:p>
          <a:pPr algn="l"/>
          <a:r>
            <a:rPr lang="en-IN" sz="1600" b="1" baseline="0">
              <a:solidFill>
                <a:srgbClr val="E5B244"/>
              </a:solidFill>
            </a:rPr>
            <a:t>BreakDown </a:t>
          </a:r>
          <a:endParaRPr lang="en-IN" sz="1600" b="1">
            <a:solidFill>
              <a:srgbClr val="E5B244"/>
            </a:solidFill>
          </a:endParaRPr>
        </a:p>
      </xdr:txBody>
    </xdr:sp>
    <xdr:clientData/>
  </xdr:twoCellAnchor>
  <xdr:twoCellAnchor editAs="oneCell">
    <xdr:from>
      <xdr:col>1</xdr:col>
      <xdr:colOff>180474</xdr:colOff>
      <xdr:row>8</xdr:row>
      <xdr:rowOff>60159</xdr:rowOff>
    </xdr:from>
    <xdr:to>
      <xdr:col>2</xdr:col>
      <xdr:colOff>431131</xdr:colOff>
      <xdr:row>13</xdr:row>
      <xdr:rowOff>20053</xdr:rowOff>
    </xdr:to>
    <xdr:pic>
      <xdr:nvPicPr>
        <xdr:cNvPr id="91" name="Picture 90">
          <a:extLst>
            <a:ext uri="{FF2B5EF4-FFF2-40B4-BE49-F238E27FC236}">
              <a16:creationId xmlns:a16="http://schemas.microsoft.com/office/drawing/2014/main" id="{247AB228-96DF-C99E-BBD2-72DD7AD79C7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92079" y="1503948"/>
          <a:ext cx="862263" cy="862263"/>
        </a:xfrm>
        <a:prstGeom prst="rect">
          <a:avLst/>
        </a:prstGeom>
      </xdr:spPr>
    </xdr:pic>
    <xdr:clientData/>
  </xdr:twoCellAnchor>
  <xdr:twoCellAnchor>
    <xdr:from>
      <xdr:col>4</xdr:col>
      <xdr:colOff>42109</xdr:colOff>
      <xdr:row>9</xdr:row>
      <xdr:rowOff>60157</xdr:rowOff>
    </xdr:from>
    <xdr:to>
      <xdr:col>5</xdr:col>
      <xdr:colOff>130342</xdr:colOff>
      <xdr:row>13</xdr:row>
      <xdr:rowOff>40104</xdr:rowOff>
    </xdr:to>
    <xdr:sp macro="" textlink="pivot!J21">
      <xdr:nvSpPr>
        <xdr:cNvPr id="70" name="TextBox 69">
          <a:extLst>
            <a:ext uri="{FF2B5EF4-FFF2-40B4-BE49-F238E27FC236}">
              <a16:creationId xmlns:a16="http://schemas.microsoft.com/office/drawing/2014/main" id="{9BD8844D-4931-F1AE-44CC-AF510C078DC3}"/>
            </a:ext>
          </a:extLst>
        </xdr:cNvPr>
        <xdr:cNvSpPr txBox="1"/>
      </xdr:nvSpPr>
      <xdr:spPr>
        <a:xfrm>
          <a:off x="2488530" y="1684420"/>
          <a:ext cx="699838" cy="70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1B7A6F-ABC4-4AF4-B4F0-B7B00020AE4E}" type="TxLink">
            <a:rPr lang="en-US" sz="4000" b="1" i="0" u="none" strike="noStrike">
              <a:solidFill>
                <a:schemeClr val="bg1">
                  <a:lumMod val="95000"/>
                </a:schemeClr>
              </a:solidFill>
              <a:latin typeface="Aptos Narrow"/>
            </a:rPr>
            <a:pPr algn="l"/>
            <a:t>50</a:t>
          </a:fld>
          <a:endParaRPr lang="en-IN" sz="4000" b="1">
            <a:solidFill>
              <a:schemeClr val="bg1">
                <a:lumMod val="95000"/>
              </a:schemeClr>
            </a:solidFill>
          </a:endParaRPr>
        </a:p>
      </xdr:txBody>
    </xdr:sp>
    <xdr:clientData/>
  </xdr:twoCellAnchor>
  <xdr:twoCellAnchor>
    <xdr:from>
      <xdr:col>4</xdr:col>
      <xdr:colOff>42109</xdr:colOff>
      <xdr:row>12</xdr:row>
      <xdr:rowOff>90232</xdr:rowOff>
    </xdr:from>
    <xdr:to>
      <xdr:col>5</xdr:col>
      <xdr:colOff>561474</xdr:colOff>
      <xdr:row>13</xdr:row>
      <xdr:rowOff>140369</xdr:rowOff>
    </xdr:to>
    <xdr:sp macro="" textlink="">
      <xdr:nvSpPr>
        <xdr:cNvPr id="71" name="TextBox 70">
          <a:extLst>
            <a:ext uri="{FF2B5EF4-FFF2-40B4-BE49-F238E27FC236}">
              <a16:creationId xmlns:a16="http://schemas.microsoft.com/office/drawing/2014/main" id="{E4722B8F-87A9-7315-84E3-B23FD4BCC5B4}"/>
            </a:ext>
          </a:extLst>
        </xdr:cNvPr>
        <xdr:cNvSpPr txBox="1"/>
      </xdr:nvSpPr>
      <xdr:spPr>
        <a:xfrm>
          <a:off x="2488530" y="2255916"/>
          <a:ext cx="1130970" cy="23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a:solidFill>
                <a:schemeClr val="bg1">
                  <a:lumMod val="95000"/>
                </a:schemeClr>
              </a:solidFill>
            </a:rPr>
            <a:t>Total</a:t>
          </a:r>
          <a:r>
            <a:rPr lang="en-IN" sz="1000" b="0" baseline="0">
              <a:solidFill>
                <a:schemeClr val="bg1">
                  <a:lumMod val="95000"/>
                </a:schemeClr>
              </a:solidFill>
            </a:rPr>
            <a:t> Employees</a:t>
          </a:r>
          <a:endParaRPr lang="en-IN" sz="1000" b="0">
            <a:solidFill>
              <a:schemeClr val="bg1">
                <a:lumMod val="95000"/>
              </a:schemeClr>
            </a:solidFill>
          </a:endParaRPr>
        </a:p>
      </xdr:txBody>
    </xdr:sp>
    <xdr:clientData/>
  </xdr:twoCellAnchor>
  <xdr:twoCellAnchor>
    <xdr:from>
      <xdr:col>4</xdr:col>
      <xdr:colOff>42109</xdr:colOff>
      <xdr:row>8</xdr:row>
      <xdr:rowOff>60154</xdr:rowOff>
    </xdr:from>
    <xdr:to>
      <xdr:col>6</xdr:col>
      <xdr:colOff>240631</xdr:colOff>
      <xdr:row>10</xdr:row>
      <xdr:rowOff>20052</xdr:rowOff>
    </xdr:to>
    <xdr:sp macro="" textlink="">
      <xdr:nvSpPr>
        <xdr:cNvPr id="73" name="TextBox 72">
          <a:extLst>
            <a:ext uri="{FF2B5EF4-FFF2-40B4-BE49-F238E27FC236}">
              <a16:creationId xmlns:a16="http://schemas.microsoft.com/office/drawing/2014/main" id="{D3B9BB86-1AC9-7A7D-ED62-BEDC9BA6A082}"/>
            </a:ext>
          </a:extLst>
        </xdr:cNvPr>
        <xdr:cNvSpPr txBox="1"/>
      </xdr:nvSpPr>
      <xdr:spPr>
        <a:xfrm>
          <a:off x="2488530" y="1503943"/>
          <a:ext cx="1421733" cy="320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rgbClr val="E5B244"/>
              </a:solidFill>
            </a:rPr>
            <a:t>Employees</a:t>
          </a:r>
          <a:r>
            <a:rPr lang="en-IN" sz="1200" b="1" baseline="0">
              <a:solidFill>
                <a:srgbClr val="E5B244"/>
              </a:solidFill>
            </a:rPr>
            <a:t> Number </a:t>
          </a:r>
          <a:endParaRPr lang="en-IN" sz="1200" b="1">
            <a:solidFill>
              <a:srgbClr val="E5B244"/>
            </a:solidFill>
          </a:endParaRPr>
        </a:p>
      </xdr:txBody>
    </xdr:sp>
    <xdr:clientData/>
  </xdr:twoCellAnchor>
  <xdr:twoCellAnchor>
    <xdr:from>
      <xdr:col>4</xdr:col>
      <xdr:colOff>42109</xdr:colOff>
      <xdr:row>15</xdr:row>
      <xdr:rowOff>20049</xdr:rowOff>
    </xdr:from>
    <xdr:to>
      <xdr:col>4</xdr:col>
      <xdr:colOff>581526</xdr:colOff>
      <xdr:row>16</xdr:row>
      <xdr:rowOff>160421</xdr:rowOff>
    </xdr:to>
    <xdr:sp macro="" textlink="">
      <xdr:nvSpPr>
        <xdr:cNvPr id="87" name="TextBox 86">
          <a:extLst>
            <a:ext uri="{FF2B5EF4-FFF2-40B4-BE49-F238E27FC236}">
              <a16:creationId xmlns:a16="http://schemas.microsoft.com/office/drawing/2014/main" id="{60EA9982-674A-4563-DC6B-8BF6C0874369}"/>
            </a:ext>
          </a:extLst>
        </xdr:cNvPr>
        <xdr:cNvSpPr txBox="1"/>
      </xdr:nvSpPr>
      <xdr:spPr>
        <a:xfrm>
          <a:off x="2488530" y="2727154"/>
          <a:ext cx="539417" cy="320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rgbClr val="E5B244"/>
              </a:solidFill>
            </a:rPr>
            <a:t>Male</a:t>
          </a:r>
        </a:p>
      </xdr:txBody>
    </xdr:sp>
    <xdr:clientData/>
  </xdr:twoCellAnchor>
  <xdr:twoCellAnchor>
    <xdr:from>
      <xdr:col>6</xdr:col>
      <xdr:colOff>102267</xdr:colOff>
      <xdr:row>15</xdr:row>
      <xdr:rowOff>10023</xdr:rowOff>
    </xdr:from>
    <xdr:to>
      <xdr:col>7</xdr:col>
      <xdr:colOff>230606</xdr:colOff>
      <xdr:row>16</xdr:row>
      <xdr:rowOff>150395</xdr:rowOff>
    </xdr:to>
    <xdr:sp macro="" textlink="">
      <xdr:nvSpPr>
        <xdr:cNvPr id="88" name="TextBox 87">
          <a:extLst>
            <a:ext uri="{FF2B5EF4-FFF2-40B4-BE49-F238E27FC236}">
              <a16:creationId xmlns:a16="http://schemas.microsoft.com/office/drawing/2014/main" id="{E5FF51E0-A84A-EEBD-74A6-F9E212896F50}"/>
            </a:ext>
          </a:extLst>
        </xdr:cNvPr>
        <xdr:cNvSpPr txBox="1"/>
      </xdr:nvSpPr>
      <xdr:spPr>
        <a:xfrm>
          <a:off x="3771899" y="2717128"/>
          <a:ext cx="739944" cy="320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rgbClr val="E5B244"/>
              </a:solidFill>
            </a:rPr>
            <a:t>Females</a:t>
          </a:r>
        </a:p>
      </xdr:txBody>
    </xdr:sp>
    <xdr:clientData/>
  </xdr:twoCellAnchor>
  <xdr:twoCellAnchor>
    <xdr:from>
      <xdr:col>5</xdr:col>
      <xdr:colOff>571503</xdr:colOff>
      <xdr:row>16</xdr:row>
      <xdr:rowOff>0</xdr:rowOff>
    </xdr:from>
    <xdr:to>
      <xdr:col>8</xdr:col>
      <xdr:colOff>50132</xdr:colOff>
      <xdr:row>21</xdr:row>
      <xdr:rowOff>156408</xdr:rowOff>
    </xdr:to>
    <xdr:graphicFrame macro="">
      <xdr:nvGraphicFramePr>
        <xdr:cNvPr id="89" name="Chart 88">
          <a:extLst>
            <a:ext uri="{FF2B5EF4-FFF2-40B4-BE49-F238E27FC236}">
              <a16:creationId xmlns:a16="http://schemas.microsoft.com/office/drawing/2014/main" id="{304EE054-BFC0-415F-AB7A-262F71FA7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491292</xdr:colOff>
      <xdr:row>16</xdr:row>
      <xdr:rowOff>10028</xdr:rowOff>
    </xdr:from>
    <xdr:to>
      <xdr:col>5</xdr:col>
      <xdr:colOff>581527</xdr:colOff>
      <xdr:row>21</xdr:row>
      <xdr:rowOff>166436</xdr:rowOff>
    </xdr:to>
    <xdr:graphicFrame macro="">
      <xdr:nvGraphicFramePr>
        <xdr:cNvPr id="90" name="Chart 89">
          <a:extLst>
            <a:ext uri="{FF2B5EF4-FFF2-40B4-BE49-F238E27FC236}">
              <a16:creationId xmlns:a16="http://schemas.microsoft.com/office/drawing/2014/main" id="{05A297E8-E787-4546-BFDA-E35437800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332872</xdr:colOff>
      <xdr:row>18</xdr:row>
      <xdr:rowOff>50130</xdr:rowOff>
    </xdr:from>
    <xdr:to>
      <xdr:col>5</xdr:col>
      <xdr:colOff>230606</xdr:colOff>
      <xdr:row>19</xdr:row>
      <xdr:rowOff>100263</xdr:rowOff>
    </xdr:to>
    <xdr:sp macro="" textlink="pivot!K19">
      <xdr:nvSpPr>
        <xdr:cNvPr id="92" name="TextBox 91">
          <a:extLst>
            <a:ext uri="{FF2B5EF4-FFF2-40B4-BE49-F238E27FC236}">
              <a16:creationId xmlns:a16="http://schemas.microsoft.com/office/drawing/2014/main" id="{D217A21A-1725-0073-ACEF-C4CC48BB27F2}"/>
            </a:ext>
          </a:extLst>
        </xdr:cNvPr>
        <xdr:cNvSpPr txBox="1"/>
      </xdr:nvSpPr>
      <xdr:spPr>
        <a:xfrm>
          <a:off x="2779293" y="3298656"/>
          <a:ext cx="509339" cy="230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77FFEC1-BC23-41FD-8052-9BA83A4330B0}" type="TxLink">
            <a:rPr lang="en-US" sz="1400" b="1" i="0" u="none" strike="noStrike">
              <a:solidFill>
                <a:schemeClr val="bg1">
                  <a:lumMod val="95000"/>
                </a:schemeClr>
              </a:solidFill>
              <a:latin typeface="Aptos Narrow"/>
            </a:rPr>
            <a:pPr algn="l"/>
            <a:t>48%</a:t>
          </a:fld>
          <a:endParaRPr lang="en-IN" sz="1400" b="1">
            <a:solidFill>
              <a:schemeClr val="bg1">
                <a:lumMod val="95000"/>
              </a:schemeClr>
            </a:solidFill>
          </a:endParaRPr>
        </a:p>
      </xdr:txBody>
    </xdr:sp>
    <xdr:clientData/>
  </xdr:twoCellAnchor>
  <xdr:twoCellAnchor>
    <xdr:from>
      <xdr:col>6</xdr:col>
      <xdr:colOff>413082</xdr:colOff>
      <xdr:row>18</xdr:row>
      <xdr:rowOff>30078</xdr:rowOff>
    </xdr:from>
    <xdr:to>
      <xdr:col>7</xdr:col>
      <xdr:colOff>310816</xdr:colOff>
      <xdr:row>19</xdr:row>
      <xdr:rowOff>80211</xdr:rowOff>
    </xdr:to>
    <xdr:sp macro="" textlink="pivot!K20">
      <xdr:nvSpPr>
        <xdr:cNvPr id="93" name="TextBox 92">
          <a:extLst>
            <a:ext uri="{FF2B5EF4-FFF2-40B4-BE49-F238E27FC236}">
              <a16:creationId xmlns:a16="http://schemas.microsoft.com/office/drawing/2014/main" id="{1568E2F5-4F3A-EA69-134B-B45D12412713}"/>
            </a:ext>
          </a:extLst>
        </xdr:cNvPr>
        <xdr:cNvSpPr txBox="1"/>
      </xdr:nvSpPr>
      <xdr:spPr>
        <a:xfrm>
          <a:off x="4082714" y="3278604"/>
          <a:ext cx="509339" cy="230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A30FE4E-6094-44F0-AB58-63F363A3F51D}" type="TxLink">
            <a:rPr lang="en-US" sz="1400" b="1" i="0" u="none" strike="noStrike">
              <a:solidFill>
                <a:schemeClr val="bg1">
                  <a:lumMod val="95000"/>
                </a:schemeClr>
              </a:solidFill>
              <a:latin typeface="Aptos Narrow"/>
            </a:rPr>
            <a:pPr algn="l"/>
            <a:t>52%</a:t>
          </a:fld>
          <a:endParaRPr lang="en-IN" sz="1400" b="1">
            <a:solidFill>
              <a:schemeClr val="bg1">
                <a:lumMod val="95000"/>
              </a:schemeClr>
            </a:solidFill>
          </a:endParaRPr>
        </a:p>
      </xdr:txBody>
    </xdr:sp>
    <xdr:clientData/>
  </xdr:twoCellAnchor>
  <xdr:twoCellAnchor>
    <xdr:from>
      <xdr:col>8</xdr:col>
      <xdr:colOff>110290</xdr:colOff>
      <xdr:row>9</xdr:row>
      <xdr:rowOff>170449</xdr:rowOff>
    </xdr:from>
    <xdr:to>
      <xdr:col>12</xdr:col>
      <xdr:colOff>190500</xdr:colOff>
      <xdr:row>19</xdr:row>
      <xdr:rowOff>40106</xdr:rowOff>
    </xdr:to>
    <xdr:graphicFrame macro="">
      <xdr:nvGraphicFramePr>
        <xdr:cNvPr id="96" name="Chart 95">
          <a:extLst>
            <a:ext uri="{FF2B5EF4-FFF2-40B4-BE49-F238E27FC236}">
              <a16:creationId xmlns:a16="http://schemas.microsoft.com/office/drawing/2014/main" id="{F465E797-F100-442D-A513-02006E4C1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210553</xdr:colOff>
      <xdr:row>18</xdr:row>
      <xdr:rowOff>120310</xdr:rowOff>
    </xdr:from>
    <xdr:to>
      <xdr:col>9</xdr:col>
      <xdr:colOff>260685</xdr:colOff>
      <xdr:row>20</xdr:row>
      <xdr:rowOff>60158</xdr:rowOff>
    </xdr:to>
    <xdr:sp macro="" textlink="">
      <xdr:nvSpPr>
        <xdr:cNvPr id="97" name="TextBox 96">
          <a:extLst>
            <a:ext uri="{FF2B5EF4-FFF2-40B4-BE49-F238E27FC236}">
              <a16:creationId xmlns:a16="http://schemas.microsoft.com/office/drawing/2014/main" id="{57044B5B-7D62-ECED-7E11-E810D67EEB77}"/>
            </a:ext>
          </a:extLst>
        </xdr:cNvPr>
        <xdr:cNvSpPr txBox="1"/>
      </xdr:nvSpPr>
      <xdr:spPr>
        <a:xfrm>
          <a:off x="5103395" y="3368836"/>
          <a:ext cx="661737" cy="30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a:solidFill>
                <a:schemeClr val="bg1"/>
              </a:solidFill>
            </a:rPr>
            <a:t>Analyst</a:t>
          </a:r>
        </a:p>
        <a:p>
          <a:pPr algn="r"/>
          <a:endParaRPr lang="en-IN" sz="1100" b="0">
            <a:solidFill>
              <a:schemeClr val="bg1"/>
            </a:solidFill>
          </a:endParaRPr>
        </a:p>
        <a:p>
          <a:pPr algn="r"/>
          <a:endParaRPr lang="en-IN" sz="1600" b="0">
            <a:solidFill>
              <a:schemeClr val="bg1"/>
            </a:solidFill>
          </a:endParaRPr>
        </a:p>
      </xdr:txBody>
    </xdr:sp>
    <xdr:clientData/>
  </xdr:twoCellAnchor>
  <xdr:twoCellAnchor>
    <xdr:from>
      <xdr:col>8</xdr:col>
      <xdr:colOff>240631</xdr:colOff>
      <xdr:row>19</xdr:row>
      <xdr:rowOff>20049</xdr:rowOff>
    </xdr:from>
    <xdr:to>
      <xdr:col>8</xdr:col>
      <xdr:colOff>340895</xdr:colOff>
      <xdr:row>19</xdr:row>
      <xdr:rowOff>120313</xdr:rowOff>
    </xdr:to>
    <xdr:sp macro="" textlink="">
      <xdr:nvSpPr>
        <xdr:cNvPr id="98" name="Oval 97">
          <a:extLst>
            <a:ext uri="{FF2B5EF4-FFF2-40B4-BE49-F238E27FC236}">
              <a16:creationId xmlns:a16="http://schemas.microsoft.com/office/drawing/2014/main" id="{A001DA28-7D35-3BBE-A84D-BD2BE2CC932F}"/>
            </a:ext>
          </a:extLst>
        </xdr:cNvPr>
        <xdr:cNvSpPr/>
      </xdr:nvSpPr>
      <xdr:spPr>
        <a:xfrm>
          <a:off x="5133473" y="3449049"/>
          <a:ext cx="100264" cy="100264"/>
        </a:xfrm>
        <a:prstGeom prst="ellipse">
          <a:avLst/>
        </a:prstGeom>
        <a:solidFill>
          <a:srgbClr val="7793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9</xdr:col>
      <xdr:colOff>411078</xdr:colOff>
      <xdr:row>19</xdr:row>
      <xdr:rowOff>130335</xdr:rowOff>
    </xdr:from>
    <xdr:to>
      <xdr:col>10</xdr:col>
      <xdr:colOff>491288</xdr:colOff>
      <xdr:row>21</xdr:row>
      <xdr:rowOff>60158</xdr:rowOff>
    </xdr:to>
    <xdr:sp macro="" textlink="">
      <xdr:nvSpPr>
        <xdr:cNvPr id="99" name="TextBox 98">
          <a:extLst>
            <a:ext uri="{FF2B5EF4-FFF2-40B4-BE49-F238E27FC236}">
              <a16:creationId xmlns:a16="http://schemas.microsoft.com/office/drawing/2014/main" id="{C6D67AE4-137D-FE39-824C-A6EC7B2D4529}"/>
            </a:ext>
          </a:extLst>
        </xdr:cNvPr>
        <xdr:cNvSpPr txBox="1"/>
      </xdr:nvSpPr>
      <xdr:spPr>
        <a:xfrm>
          <a:off x="5915525" y="3559335"/>
          <a:ext cx="691816" cy="29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a:solidFill>
                <a:schemeClr val="bg1"/>
              </a:solidFill>
            </a:rPr>
            <a:t>Designer</a:t>
          </a:r>
        </a:p>
        <a:p>
          <a:pPr algn="r"/>
          <a:endParaRPr lang="en-IN" sz="1100" b="0">
            <a:solidFill>
              <a:schemeClr val="bg1"/>
            </a:solidFill>
          </a:endParaRPr>
        </a:p>
        <a:p>
          <a:pPr algn="r"/>
          <a:endParaRPr lang="en-IN" sz="1600" b="0">
            <a:solidFill>
              <a:schemeClr val="bg1"/>
            </a:solidFill>
          </a:endParaRPr>
        </a:p>
      </xdr:txBody>
    </xdr:sp>
    <xdr:clientData/>
  </xdr:twoCellAnchor>
  <xdr:twoCellAnchor>
    <xdr:from>
      <xdr:col>9</xdr:col>
      <xdr:colOff>380999</xdr:colOff>
      <xdr:row>20</xdr:row>
      <xdr:rowOff>35088</xdr:rowOff>
    </xdr:from>
    <xdr:to>
      <xdr:col>9</xdr:col>
      <xdr:colOff>481263</xdr:colOff>
      <xdr:row>20</xdr:row>
      <xdr:rowOff>135352</xdr:rowOff>
    </xdr:to>
    <xdr:sp macro="" textlink="">
      <xdr:nvSpPr>
        <xdr:cNvPr id="100" name="Oval 99">
          <a:extLst>
            <a:ext uri="{FF2B5EF4-FFF2-40B4-BE49-F238E27FC236}">
              <a16:creationId xmlns:a16="http://schemas.microsoft.com/office/drawing/2014/main" id="{0FE61FEE-9918-DB18-55BF-FCC8C7DCE0A0}"/>
            </a:ext>
          </a:extLst>
        </xdr:cNvPr>
        <xdr:cNvSpPr/>
      </xdr:nvSpPr>
      <xdr:spPr>
        <a:xfrm>
          <a:off x="5885446" y="3644562"/>
          <a:ext cx="100264" cy="100264"/>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8</xdr:col>
      <xdr:colOff>280737</xdr:colOff>
      <xdr:row>19</xdr:row>
      <xdr:rowOff>125321</xdr:rowOff>
    </xdr:from>
    <xdr:to>
      <xdr:col>9</xdr:col>
      <xdr:colOff>431132</xdr:colOff>
      <xdr:row>21</xdr:row>
      <xdr:rowOff>25066</xdr:rowOff>
    </xdr:to>
    <xdr:sp macro="" textlink="">
      <xdr:nvSpPr>
        <xdr:cNvPr id="101" name="TextBox 100">
          <a:extLst>
            <a:ext uri="{FF2B5EF4-FFF2-40B4-BE49-F238E27FC236}">
              <a16:creationId xmlns:a16="http://schemas.microsoft.com/office/drawing/2014/main" id="{960ACBF6-BF00-0CFC-131B-2EA0CA6612E8}"/>
            </a:ext>
          </a:extLst>
        </xdr:cNvPr>
        <xdr:cNvSpPr txBox="1"/>
      </xdr:nvSpPr>
      <xdr:spPr>
        <a:xfrm>
          <a:off x="5173579" y="3554321"/>
          <a:ext cx="762000" cy="260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a:solidFill>
                <a:schemeClr val="bg1"/>
              </a:solidFill>
            </a:rPr>
            <a:t>Developer</a:t>
          </a:r>
        </a:p>
      </xdr:txBody>
    </xdr:sp>
    <xdr:clientData/>
  </xdr:twoCellAnchor>
  <xdr:twoCellAnchor>
    <xdr:from>
      <xdr:col>8</xdr:col>
      <xdr:colOff>240631</xdr:colOff>
      <xdr:row>20</xdr:row>
      <xdr:rowOff>35088</xdr:rowOff>
    </xdr:from>
    <xdr:to>
      <xdr:col>8</xdr:col>
      <xdr:colOff>340895</xdr:colOff>
      <xdr:row>20</xdr:row>
      <xdr:rowOff>135352</xdr:rowOff>
    </xdr:to>
    <xdr:sp macro="" textlink="">
      <xdr:nvSpPr>
        <xdr:cNvPr id="102" name="Oval 101">
          <a:extLst>
            <a:ext uri="{FF2B5EF4-FFF2-40B4-BE49-F238E27FC236}">
              <a16:creationId xmlns:a16="http://schemas.microsoft.com/office/drawing/2014/main" id="{16924447-7153-6798-D5AB-59F6E94633EC}"/>
            </a:ext>
          </a:extLst>
        </xdr:cNvPr>
        <xdr:cNvSpPr/>
      </xdr:nvSpPr>
      <xdr:spPr>
        <a:xfrm>
          <a:off x="5133473" y="3644562"/>
          <a:ext cx="100264" cy="100264"/>
        </a:xfrm>
        <a:prstGeom prst="ellipse">
          <a:avLst/>
        </a:prstGeom>
        <a:solidFill>
          <a:srgbClr val="948A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10</xdr:col>
      <xdr:colOff>360948</xdr:colOff>
      <xdr:row>18</xdr:row>
      <xdr:rowOff>125323</xdr:rowOff>
    </xdr:from>
    <xdr:to>
      <xdr:col>12</xdr:col>
      <xdr:colOff>100264</xdr:colOff>
      <xdr:row>20</xdr:row>
      <xdr:rowOff>55145</xdr:rowOff>
    </xdr:to>
    <xdr:sp macro="" textlink="">
      <xdr:nvSpPr>
        <xdr:cNvPr id="103" name="TextBox 102">
          <a:extLst>
            <a:ext uri="{FF2B5EF4-FFF2-40B4-BE49-F238E27FC236}">
              <a16:creationId xmlns:a16="http://schemas.microsoft.com/office/drawing/2014/main" id="{EF85B408-0409-7283-D884-3FFEC08B600F}"/>
            </a:ext>
          </a:extLst>
        </xdr:cNvPr>
        <xdr:cNvSpPr txBox="1"/>
      </xdr:nvSpPr>
      <xdr:spPr>
        <a:xfrm>
          <a:off x="6477001" y="3373849"/>
          <a:ext cx="962526" cy="29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a:solidFill>
                <a:schemeClr val="bg1"/>
              </a:solidFill>
            </a:rPr>
            <a:t>HR</a:t>
          </a:r>
          <a:r>
            <a:rPr lang="en-IN" sz="1100" b="0" baseline="0">
              <a:solidFill>
                <a:schemeClr val="bg1"/>
              </a:solidFill>
            </a:rPr>
            <a:t> Specialist</a:t>
          </a:r>
          <a:endParaRPr lang="en-IN" sz="1100" b="0">
            <a:solidFill>
              <a:schemeClr val="bg1"/>
            </a:solidFill>
          </a:endParaRPr>
        </a:p>
      </xdr:txBody>
    </xdr:sp>
    <xdr:clientData/>
  </xdr:twoCellAnchor>
  <xdr:twoCellAnchor>
    <xdr:from>
      <xdr:col>10</xdr:col>
      <xdr:colOff>360947</xdr:colOff>
      <xdr:row>19</xdr:row>
      <xdr:rowOff>20049</xdr:rowOff>
    </xdr:from>
    <xdr:to>
      <xdr:col>10</xdr:col>
      <xdr:colOff>461211</xdr:colOff>
      <xdr:row>19</xdr:row>
      <xdr:rowOff>120313</xdr:rowOff>
    </xdr:to>
    <xdr:sp macro="" textlink="">
      <xdr:nvSpPr>
        <xdr:cNvPr id="104" name="Oval 103">
          <a:extLst>
            <a:ext uri="{FF2B5EF4-FFF2-40B4-BE49-F238E27FC236}">
              <a16:creationId xmlns:a16="http://schemas.microsoft.com/office/drawing/2014/main" id="{411333F3-2677-6726-1ABD-764A8A6FBB36}"/>
            </a:ext>
          </a:extLst>
        </xdr:cNvPr>
        <xdr:cNvSpPr/>
      </xdr:nvSpPr>
      <xdr:spPr>
        <a:xfrm>
          <a:off x="6477000" y="3449049"/>
          <a:ext cx="100264" cy="100264"/>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9</xdr:col>
      <xdr:colOff>230606</xdr:colOff>
      <xdr:row>18</xdr:row>
      <xdr:rowOff>135349</xdr:rowOff>
    </xdr:from>
    <xdr:to>
      <xdr:col>10</xdr:col>
      <xdr:colOff>350921</xdr:colOff>
      <xdr:row>20</xdr:row>
      <xdr:rowOff>45119</xdr:rowOff>
    </xdr:to>
    <xdr:sp macro="" textlink="">
      <xdr:nvSpPr>
        <xdr:cNvPr id="105" name="TextBox 104">
          <a:extLst>
            <a:ext uri="{FF2B5EF4-FFF2-40B4-BE49-F238E27FC236}">
              <a16:creationId xmlns:a16="http://schemas.microsoft.com/office/drawing/2014/main" id="{6FE1D679-949B-15FA-497F-3A6B8D3F4D9D}"/>
            </a:ext>
          </a:extLst>
        </xdr:cNvPr>
        <xdr:cNvSpPr txBox="1"/>
      </xdr:nvSpPr>
      <xdr:spPr>
        <a:xfrm>
          <a:off x="5735053" y="3383875"/>
          <a:ext cx="731921" cy="270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0">
              <a:solidFill>
                <a:schemeClr val="bg1"/>
              </a:solidFill>
            </a:rPr>
            <a:t>Manager</a:t>
          </a:r>
        </a:p>
      </xdr:txBody>
    </xdr:sp>
    <xdr:clientData/>
  </xdr:twoCellAnchor>
  <xdr:twoCellAnchor>
    <xdr:from>
      <xdr:col>9</xdr:col>
      <xdr:colOff>260685</xdr:colOff>
      <xdr:row>19</xdr:row>
      <xdr:rowOff>20049</xdr:rowOff>
    </xdr:from>
    <xdr:to>
      <xdr:col>9</xdr:col>
      <xdr:colOff>360949</xdr:colOff>
      <xdr:row>19</xdr:row>
      <xdr:rowOff>120313</xdr:rowOff>
    </xdr:to>
    <xdr:sp macro="" textlink="">
      <xdr:nvSpPr>
        <xdr:cNvPr id="106" name="Oval 105">
          <a:extLst>
            <a:ext uri="{FF2B5EF4-FFF2-40B4-BE49-F238E27FC236}">
              <a16:creationId xmlns:a16="http://schemas.microsoft.com/office/drawing/2014/main" id="{3D14C92A-DA13-DF4C-9A76-6C46012D1219}"/>
            </a:ext>
          </a:extLst>
        </xdr:cNvPr>
        <xdr:cNvSpPr/>
      </xdr:nvSpPr>
      <xdr:spPr>
        <a:xfrm>
          <a:off x="5765132" y="3449049"/>
          <a:ext cx="100264" cy="100264"/>
        </a:xfrm>
        <a:prstGeom prst="ellipse">
          <a:avLst/>
        </a:prstGeom>
        <a:solidFill>
          <a:srgbClr val="E5B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8</xdr:col>
      <xdr:colOff>202527</xdr:colOff>
      <xdr:row>7</xdr:row>
      <xdr:rowOff>170444</xdr:rowOff>
    </xdr:from>
    <xdr:to>
      <xdr:col>10</xdr:col>
      <xdr:colOff>100263</xdr:colOff>
      <xdr:row>9</xdr:row>
      <xdr:rowOff>50133</xdr:rowOff>
    </xdr:to>
    <xdr:sp macro="" textlink="">
      <xdr:nvSpPr>
        <xdr:cNvPr id="115" name="TextBox 114">
          <a:extLst>
            <a:ext uri="{FF2B5EF4-FFF2-40B4-BE49-F238E27FC236}">
              <a16:creationId xmlns:a16="http://schemas.microsoft.com/office/drawing/2014/main" id="{9D5A0B2F-2C4B-BB6B-0FE7-4495A6145182}"/>
            </a:ext>
          </a:extLst>
        </xdr:cNvPr>
        <xdr:cNvSpPr txBox="1"/>
      </xdr:nvSpPr>
      <xdr:spPr>
        <a:xfrm>
          <a:off x="5095369" y="1433760"/>
          <a:ext cx="1120947" cy="24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rgbClr val="E5B244"/>
              </a:solidFill>
            </a:rPr>
            <a:t>Leave</a:t>
          </a:r>
          <a:r>
            <a:rPr lang="en-IN" sz="1200" b="1" baseline="0">
              <a:solidFill>
                <a:srgbClr val="E5B244"/>
              </a:solidFill>
            </a:rPr>
            <a:t> Tracking</a:t>
          </a:r>
          <a:endParaRPr lang="en-IN" sz="1200" b="1">
            <a:solidFill>
              <a:srgbClr val="E5B244"/>
            </a:solidFill>
          </a:endParaRPr>
        </a:p>
      </xdr:txBody>
    </xdr:sp>
    <xdr:clientData/>
  </xdr:twoCellAnchor>
  <xdr:twoCellAnchor>
    <xdr:from>
      <xdr:col>8</xdr:col>
      <xdr:colOff>202528</xdr:colOff>
      <xdr:row>8</xdr:row>
      <xdr:rowOff>150396</xdr:rowOff>
    </xdr:from>
    <xdr:to>
      <xdr:col>10</xdr:col>
      <xdr:colOff>300789</xdr:colOff>
      <xdr:row>10</xdr:row>
      <xdr:rowOff>70183</xdr:rowOff>
    </xdr:to>
    <xdr:sp macro="" textlink="">
      <xdr:nvSpPr>
        <xdr:cNvPr id="116" name="TextBox 115">
          <a:extLst>
            <a:ext uri="{FF2B5EF4-FFF2-40B4-BE49-F238E27FC236}">
              <a16:creationId xmlns:a16="http://schemas.microsoft.com/office/drawing/2014/main" id="{30C4351A-A117-D949-50CC-55ED67959C77}"/>
            </a:ext>
          </a:extLst>
        </xdr:cNvPr>
        <xdr:cNvSpPr txBox="1"/>
      </xdr:nvSpPr>
      <xdr:spPr>
        <a:xfrm>
          <a:off x="5095370" y="1594185"/>
          <a:ext cx="1321472" cy="280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0">
              <a:solidFill>
                <a:schemeClr val="bg1">
                  <a:lumMod val="75000"/>
                </a:schemeClr>
              </a:solidFill>
            </a:rPr>
            <a:t>Leave</a:t>
          </a:r>
          <a:r>
            <a:rPr lang="en-IN" sz="900" b="0" baseline="0">
              <a:solidFill>
                <a:schemeClr val="bg1">
                  <a:lumMod val="75000"/>
                </a:schemeClr>
              </a:solidFill>
            </a:rPr>
            <a:t> Taken by job title</a:t>
          </a:r>
          <a:endParaRPr lang="en-IN" sz="900" b="0">
            <a:solidFill>
              <a:schemeClr val="bg1">
                <a:lumMod val="75000"/>
              </a:schemeClr>
            </a:solidFill>
          </a:endParaRPr>
        </a:p>
      </xdr:txBody>
    </xdr:sp>
    <xdr:clientData/>
  </xdr:twoCellAnchor>
  <xdr:twoCellAnchor>
    <xdr:from>
      <xdr:col>12</xdr:col>
      <xdr:colOff>330869</xdr:colOff>
      <xdr:row>14</xdr:row>
      <xdr:rowOff>60156</xdr:rowOff>
    </xdr:from>
    <xdr:to>
      <xdr:col>17</xdr:col>
      <xdr:colOff>50132</xdr:colOff>
      <xdr:row>20</xdr:row>
      <xdr:rowOff>70183</xdr:rowOff>
    </xdr:to>
    <xdr:graphicFrame macro="">
      <xdr:nvGraphicFramePr>
        <xdr:cNvPr id="72" name="Chart 71">
          <a:extLst>
            <a:ext uri="{FF2B5EF4-FFF2-40B4-BE49-F238E27FC236}">
              <a16:creationId xmlns:a16="http://schemas.microsoft.com/office/drawing/2014/main" id="{EC1EAE77-D5AC-458F-9AA5-B934E1E5B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433132</xdr:colOff>
      <xdr:row>12</xdr:row>
      <xdr:rowOff>20049</xdr:rowOff>
    </xdr:from>
    <xdr:to>
      <xdr:col>14</xdr:col>
      <xdr:colOff>190498</xdr:colOff>
      <xdr:row>13</xdr:row>
      <xdr:rowOff>80212</xdr:rowOff>
    </xdr:to>
    <xdr:sp macro="" textlink="">
      <xdr:nvSpPr>
        <xdr:cNvPr id="74" name="TextBox 73">
          <a:extLst>
            <a:ext uri="{FF2B5EF4-FFF2-40B4-BE49-F238E27FC236}">
              <a16:creationId xmlns:a16="http://schemas.microsoft.com/office/drawing/2014/main" id="{83BFAB06-F515-3AB4-380E-90B205A53E19}"/>
            </a:ext>
          </a:extLst>
        </xdr:cNvPr>
        <xdr:cNvSpPr txBox="1"/>
      </xdr:nvSpPr>
      <xdr:spPr>
        <a:xfrm>
          <a:off x="7772395" y="2185733"/>
          <a:ext cx="980577" cy="240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rgbClr val="E5B244"/>
              </a:solidFill>
            </a:rPr>
            <a:t>Regions</a:t>
          </a:r>
        </a:p>
      </xdr:txBody>
    </xdr:sp>
    <xdr:clientData/>
  </xdr:twoCellAnchor>
  <xdr:twoCellAnchor>
    <xdr:from>
      <xdr:col>12</xdr:col>
      <xdr:colOff>433133</xdr:colOff>
      <xdr:row>13</xdr:row>
      <xdr:rowOff>10022</xdr:rowOff>
    </xdr:from>
    <xdr:to>
      <xdr:col>15</xdr:col>
      <xdr:colOff>360947</xdr:colOff>
      <xdr:row>14</xdr:row>
      <xdr:rowOff>90239</xdr:rowOff>
    </xdr:to>
    <xdr:sp macro="" textlink="">
      <xdr:nvSpPr>
        <xdr:cNvPr id="76" name="TextBox 75">
          <a:extLst>
            <a:ext uri="{FF2B5EF4-FFF2-40B4-BE49-F238E27FC236}">
              <a16:creationId xmlns:a16="http://schemas.microsoft.com/office/drawing/2014/main" id="{F01F42DB-D89A-627E-041C-6E7847DDD466}"/>
            </a:ext>
          </a:extLst>
        </xdr:cNvPr>
        <xdr:cNvSpPr txBox="1"/>
      </xdr:nvSpPr>
      <xdr:spPr>
        <a:xfrm>
          <a:off x="7772396" y="2356180"/>
          <a:ext cx="1762630" cy="260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0" baseline="0">
              <a:solidFill>
                <a:schemeClr val="bg1">
                  <a:lumMod val="75000"/>
                </a:schemeClr>
              </a:solidFill>
              <a:latin typeface="+mn-lt"/>
              <a:ea typeface="+mn-ea"/>
              <a:cs typeface="+mn-cs"/>
            </a:rPr>
            <a:t>Employees</a:t>
          </a:r>
          <a:r>
            <a:rPr lang="en-IN" sz="900" b="0" baseline="0">
              <a:solidFill>
                <a:schemeClr val="bg1">
                  <a:lumMod val="75000"/>
                </a:schemeClr>
              </a:solidFill>
            </a:rPr>
            <a:t> per regions </a:t>
          </a:r>
          <a:endParaRPr lang="en-IN" sz="900" b="0">
            <a:solidFill>
              <a:schemeClr val="bg1">
                <a:lumMod val="75000"/>
              </a:schemeClr>
            </a:solidFill>
          </a:endParaRPr>
        </a:p>
      </xdr:txBody>
    </xdr:sp>
    <xdr:clientData/>
  </xdr:twoCellAnchor>
  <xdr:twoCellAnchor>
    <xdr:from>
      <xdr:col>12</xdr:col>
      <xdr:colOff>423109</xdr:colOff>
      <xdr:row>5</xdr:row>
      <xdr:rowOff>90237</xdr:rowOff>
    </xdr:from>
    <xdr:to>
      <xdr:col>14</xdr:col>
      <xdr:colOff>200526</xdr:colOff>
      <xdr:row>9</xdr:row>
      <xdr:rowOff>110288</xdr:rowOff>
    </xdr:to>
    <xdr:sp macro="" textlink="pivot!X16">
      <xdr:nvSpPr>
        <xdr:cNvPr id="77" name="TextBox 76">
          <a:extLst>
            <a:ext uri="{FF2B5EF4-FFF2-40B4-BE49-F238E27FC236}">
              <a16:creationId xmlns:a16="http://schemas.microsoft.com/office/drawing/2014/main" id="{6C058FE8-C2FB-75CD-F7DD-1591C03F93EB}"/>
            </a:ext>
          </a:extLst>
        </xdr:cNvPr>
        <xdr:cNvSpPr txBox="1"/>
      </xdr:nvSpPr>
      <xdr:spPr>
        <a:xfrm>
          <a:off x="7762372" y="992605"/>
          <a:ext cx="1000628" cy="741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9CA992-A9A9-4933-9A4B-E353E6C80A09}" type="TxLink">
            <a:rPr lang="en-US" sz="4800" b="1" i="0" u="none" strike="noStrike">
              <a:solidFill>
                <a:schemeClr val="bg1">
                  <a:lumMod val="95000"/>
                </a:schemeClr>
              </a:solidFill>
              <a:latin typeface="Aptos Narrow"/>
              <a:ea typeface="+mn-ea"/>
              <a:cs typeface="+mn-cs"/>
            </a:rPr>
            <a:pPr marL="0" indent="0" algn="l"/>
            <a:t>2.6</a:t>
          </a:fld>
          <a:endParaRPr lang="en-IN" sz="4800" b="1" i="0" u="none" strike="noStrike">
            <a:solidFill>
              <a:schemeClr val="bg1">
                <a:lumMod val="95000"/>
              </a:schemeClr>
            </a:solidFill>
            <a:latin typeface="Aptos Narrow"/>
            <a:ea typeface="+mn-ea"/>
            <a:cs typeface="+mn-cs"/>
          </a:endParaRPr>
        </a:p>
      </xdr:txBody>
    </xdr:sp>
    <xdr:clientData/>
  </xdr:twoCellAnchor>
  <xdr:twoCellAnchor>
    <xdr:from>
      <xdr:col>12</xdr:col>
      <xdr:colOff>453187</xdr:colOff>
      <xdr:row>8</xdr:row>
      <xdr:rowOff>180470</xdr:rowOff>
    </xdr:from>
    <xdr:to>
      <xdr:col>14</xdr:col>
      <xdr:colOff>360946</xdr:colOff>
      <xdr:row>10</xdr:row>
      <xdr:rowOff>50133</xdr:rowOff>
    </xdr:to>
    <xdr:sp macro="" textlink="">
      <xdr:nvSpPr>
        <xdr:cNvPr id="78" name="TextBox 77">
          <a:extLst>
            <a:ext uri="{FF2B5EF4-FFF2-40B4-BE49-F238E27FC236}">
              <a16:creationId xmlns:a16="http://schemas.microsoft.com/office/drawing/2014/main" id="{B8F398E9-4F50-53C9-1377-8FEB71E22811}"/>
            </a:ext>
          </a:extLst>
        </xdr:cNvPr>
        <xdr:cNvSpPr txBox="1"/>
      </xdr:nvSpPr>
      <xdr:spPr>
        <a:xfrm>
          <a:off x="7792450" y="1624259"/>
          <a:ext cx="1130970" cy="23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a:solidFill>
                <a:schemeClr val="bg1">
                  <a:lumMod val="95000"/>
                </a:schemeClr>
              </a:solidFill>
            </a:rPr>
            <a:t>Average</a:t>
          </a:r>
          <a:r>
            <a:rPr lang="en-IN" sz="1050" b="1" baseline="0">
              <a:solidFill>
                <a:schemeClr val="bg1">
                  <a:lumMod val="95000"/>
                </a:schemeClr>
              </a:solidFill>
            </a:rPr>
            <a:t> Rating</a:t>
          </a:r>
          <a:endParaRPr lang="en-IN" sz="1050" b="1">
            <a:solidFill>
              <a:schemeClr val="bg1">
                <a:lumMod val="95000"/>
              </a:schemeClr>
            </a:solidFill>
          </a:endParaRPr>
        </a:p>
      </xdr:txBody>
    </xdr:sp>
    <xdr:clientData/>
  </xdr:twoCellAnchor>
  <xdr:twoCellAnchor editAs="oneCell">
    <xdr:from>
      <xdr:col>14</xdr:col>
      <xdr:colOff>571500</xdr:colOff>
      <xdr:row>4</xdr:row>
      <xdr:rowOff>60158</xdr:rowOff>
    </xdr:from>
    <xdr:to>
      <xdr:col>16</xdr:col>
      <xdr:colOff>481263</xdr:colOff>
      <xdr:row>10</xdr:row>
      <xdr:rowOff>71952</xdr:rowOff>
    </xdr:to>
    <xdr:pic>
      <xdr:nvPicPr>
        <xdr:cNvPr id="108" name="Picture 107">
          <a:extLst>
            <a:ext uri="{FF2B5EF4-FFF2-40B4-BE49-F238E27FC236}">
              <a16:creationId xmlns:a16="http://schemas.microsoft.com/office/drawing/2014/main" id="{71DFECD9-8360-49B9-FF09-9B34DC3B258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133974" y="782053"/>
          <a:ext cx="1132973" cy="1094636"/>
        </a:xfrm>
        <a:prstGeom prst="rect">
          <a:avLst/>
        </a:prstGeom>
      </xdr:spPr>
    </xdr:pic>
    <xdr:clientData/>
  </xdr:twoCellAnchor>
  <xdr:twoCellAnchor>
    <xdr:from>
      <xdr:col>12</xdr:col>
      <xdr:colOff>433132</xdr:colOff>
      <xdr:row>3</xdr:row>
      <xdr:rowOff>20053</xdr:rowOff>
    </xdr:from>
    <xdr:to>
      <xdr:col>15</xdr:col>
      <xdr:colOff>310816</xdr:colOff>
      <xdr:row>4</xdr:row>
      <xdr:rowOff>20052</xdr:rowOff>
    </xdr:to>
    <xdr:sp macro="" textlink="">
      <xdr:nvSpPr>
        <xdr:cNvPr id="109" name="TextBox 108">
          <a:extLst>
            <a:ext uri="{FF2B5EF4-FFF2-40B4-BE49-F238E27FC236}">
              <a16:creationId xmlns:a16="http://schemas.microsoft.com/office/drawing/2014/main" id="{42157AD5-A24F-5EE6-23D2-AC3F11255568}"/>
            </a:ext>
          </a:extLst>
        </xdr:cNvPr>
        <xdr:cNvSpPr txBox="1"/>
      </xdr:nvSpPr>
      <xdr:spPr>
        <a:xfrm>
          <a:off x="7772395" y="561474"/>
          <a:ext cx="1712500" cy="18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rgbClr val="E5B244"/>
              </a:solidFill>
            </a:rPr>
            <a:t>Performance</a:t>
          </a:r>
          <a:r>
            <a:rPr lang="en-IN" sz="1200" b="1" baseline="0">
              <a:solidFill>
                <a:srgbClr val="E5B244"/>
              </a:solidFill>
            </a:rPr>
            <a:t> Rating</a:t>
          </a:r>
          <a:endParaRPr lang="en-IN" sz="1200" b="1">
            <a:solidFill>
              <a:srgbClr val="E5B244"/>
            </a:solidFill>
          </a:endParaRPr>
        </a:p>
      </xdr:txBody>
    </xdr:sp>
    <xdr:clientData/>
  </xdr:twoCellAnchor>
  <xdr:twoCellAnchor>
    <xdr:from>
      <xdr:col>12</xdr:col>
      <xdr:colOff>443159</xdr:colOff>
      <xdr:row>3</xdr:row>
      <xdr:rowOff>150390</xdr:rowOff>
    </xdr:from>
    <xdr:to>
      <xdr:col>15</xdr:col>
      <xdr:colOff>370973</xdr:colOff>
      <xdr:row>5</xdr:row>
      <xdr:rowOff>50134</xdr:rowOff>
    </xdr:to>
    <xdr:sp macro="" textlink="">
      <xdr:nvSpPr>
        <xdr:cNvPr id="110" name="TextBox 109">
          <a:extLst>
            <a:ext uri="{FF2B5EF4-FFF2-40B4-BE49-F238E27FC236}">
              <a16:creationId xmlns:a16="http://schemas.microsoft.com/office/drawing/2014/main" id="{E9FEB95A-C0DC-A9BF-2E1F-8921F951D3A7}"/>
            </a:ext>
          </a:extLst>
        </xdr:cNvPr>
        <xdr:cNvSpPr txBox="1"/>
      </xdr:nvSpPr>
      <xdr:spPr>
        <a:xfrm>
          <a:off x="7782422" y="691811"/>
          <a:ext cx="1762630" cy="260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solidFill>
                <a:schemeClr val="bg1">
                  <a:lumMod val="75000"/>
                </a:schemeClr>
              </a:solidFill>
            </a:rPr>
            <a:t>Average</a:t>
          </a:r>
          <a:r>
            <a:rPr lang="en-IN" sz="900" b="1" baseline="0">
              <a:solidFill>
                <a:schemeClr val="bg1">
                  <a:lumMod val="75000"/>
                </a:schemeClr>
              </a:solidFill>
            </a:rPr>
            <a:t> performance rating</a:t>
          </a:r>
          <a:endParaRPr lang="en-IN" sz="900" b="1">
            <a:solidFill>
              <a:schemeClr val="bg1">
                <a:lumMod val="75000"/>
              </a:schemeClr>
            </a:solidFill>
          </a:endParaRPr>
        </a:p>
      </xdr:txBody>
    </xdr:sp>
    <xdr:clientData/>
  </xdr:twoCellAnchor>
  <xdr:twoCellAnchor>
    <xdr:from>
      <xdr:col>12</xdr:col>
      <xdr:colOff>408403</xdr:colOff>
      <xdr:row>3</xdr:row>
      <xdr:rowOff>67913</xdr:rowOff>
    </xdr:from>
    <xdr:to>
      <xdr:col>12</xdr:col>
      <xdr:colOff>494803</xdr:colOff>
      <xdr:row>3</xdr:row>
      <xdr:rowOff>154313</xdr:rowOff>
    </xdr:to>
    <xdr:sp macro="" textlink="">
      <xdr:nvSpPr>
        <xdr:cNvPr id="114" name="Oval 113">
          <a:extLst>
            <a:ext uri="{FF2B5EF4-FFF2-40B4-BE49-F238E27FC236}">
              <a16:creationId xmlns:a16="http://schemas.microsoft.com/office/drawing/2014/main" id="{EE4B09F8-7CFE-45E3-8F00-64E91F42C452}"/>
            </a:ext>
          </a:extLst>
        </xdr:cNvPr>
        <xdr:cNvSpPr/>
      </xdr:nvSpPr>
      <xdr:spPr>
        <a:xfrm>
          <a:off x="7747666" y="609334"/>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12</xdr:col>
      <xdr:colOff>405727</xdr:colOff>
      <xdr:row>12</xdr:row>
      <xdr:rowOff>95722</xdr:rowOff>
    </xdr:from>
    <xdr:to>
      <xdr:col>12</xdr:col>
      <xdr:colOff>492127</xdr:colOff>
      <xdr:row>13</xdr:row>
      <xdr:rowOff>1648</xdr:rowOff>
    </xdr:to>
    <xdr:sp macro="" textlink="">
      <xdr:nvSpPr>
        <xdr:cNvPr id="118" name="Oval 117">
          <a:extLst>
            <a:ext uri="{FF2B5EF4-FFF2-40B4-BE49-F238E27FC236}">
              <a16:creationId xmlns:a16="http://schemas.microsoft.com/office/drawing/2014/main" id="{5C38B150-5D79-4F74-BD18-F5954622736D}"/>
            </a:ext>
          </a:extLst>
        </xdr:cNvPr>
        <xdr:cNvSpPr/>
      </xdr:nvSpPr>
      <xdr:spPr>
        <a:xfrm>
          <a:off x="7744990" y="2261406"/>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12</xdr:col>
      <xdr:colOff>352918</xdr:colOff>
      <xdr:row>20</xdr:row>
      <xdr:rowOff>163635</xdr:rowOff>
    </xdr:from>
    <xdr:to>
      <xdr:col>12</xdr:col>
      <xdr:colOff>439318</xdr:colOff>
      <xdr:row>21</xdr:row>
      <xdr:rowOff>69562</xdr:rowOff>
    </xdr:to>
    <xdr:sp macro="" textlink="">
      <xdr:nvSpPr>
        <xdr:cNvPr id="120" name="Oval 119">
          <a:extLst>
            <a:ext uri="{FF2B5EF4-FFF2-40B4-BE49-F238E27FC236}">
              <a16:creationId xmlns:a16="http://schemas.microsoft.com/office/drawing/2014/main" id="{E38F957E-E5F3-4EFE-9A13-F24415BFAAFC}"/>
            </a:ext>
          </a:extLst>
        </xdr:cNvPr>
        <xdr:cNvSpPr/>
      </xdr:nvSpPr>
      <xdr:spPr>
        <a:xfrm>
          <a:off x="7692181" y="3773109"/>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8</xdr:col>
      <xdr:colOff>179794</xdr:colOff>
      <xdr:row>22</xdr:row>
      <xdr:rowOff>141312</xdr:rowOff>
    </xdr:from>
    <xdr:to>
      <xdr:col>8</xdr:col>
      <xdr:colOff>266194</xdr:colOff>
      <xdr:row>23</xdr:row>
      <xdr:rowOff>47238</xdr:rowOff>
    </xdr:to>
    <xdr:sp macro="" textlink="">
      <xdr:nvSpPr>
        <xdr:cNvPr id="122" name="Oval 121">
          <a:extLst>
            <a:ext uri="{FF2B5EF4-FFF2-40B4-BE49-F238E27FC236}">
              <a16:creationId xmlns:a16="http://schemas.microsoft.com/office/drawing/2014/main" id="{E50C80F2-C9BF-4E72-A024-1832C58EC733}"/>
            </a:ext>
          </a:extLst>
        </xdr:cNvPr>
        <xdr:cNvSpPr/>
      </xdr:nvSpPr>
      <xdr:spPr>
        <a:xfrm>
          <a:off x="5072636" y="4111733"/>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341550</xdr:colOff>
      <xdr:row>17</xdr:row>
      <xdr:rowOff>12711</xdr:rowOff>
    </xdr:from>
    <xdr:to>
      <xdr:col>0</xdr:col>
      <xdr:colOff>427950</xdr:colOff>
      <xdr:row>17</xdr:row>
      <xdr:rowOff>99111</xdr:rowOff>
    </xdr:to>
    <xdr:sp macro="" textlink="">
      <xdr:nvSpPr>
        <xdr:cNvPr id="128" name="Oval 127">
          <a:extLst>
            <a:ext uri="{FF2B5EF4-FFF2-40B4-BE49-F238E27FC236}">
              <a16:creationId xmlns:a16="http://schemas.microsoft.com/office/drawing/2014/main" id="{91F4C1E3-0AE7-4016-BCCA-930182FAC25B}"/>
            </a:ext>
          </a:extLst>
        </xdr:cNvPr>
        <xdr:cNvSpPr/>
      </xdr:nvSpPr>
      <xdr:spPr>
        <a:xfrm>
          <a:off x="341550" y="3080764"/>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8</xdr:col>
      <xdr:colOff>177117</xdr:colOff>
      <xdr:row>8</xdr:row>
      <xdr:rowOff>68859</xdr:rowOff>
    </xdr:from>
    <xdr:to>
      <xdr:col>8</xdr:col>
      <xdr:colOff>263517</xdr:colOff>
      <xdr:row>8</xdr:row>
      <xdr:rowOff>155259</xdr:rowOff>
    </xdr:to>
    <xdr:sp macro="" textlink="">
      <xdr:nvSpPr>
        <xdr:cNvPr id="130" name="Oval 129">
          <a:extLst>
            <a:ext uri="{FF2B5EF4-FFF2-40B4-BE49-F238E27FC236}">
              <a16:creationId xmlns:a16="http://schemas.microsoft.com/office/drawing/2014/main" id="{1BA0FD9B-1291-4287-B45E-5655FAD97E7A}"/>
            </a:ext>
          </a:extLst>
        </xdr:cNvPr>
        <xdr:cNvSpPr/>
      </xdr:nvSpPr>
      <xdr:spPr>
        <a:xfrm>
          <a:off x="5069959" y="1512648"/>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4</xdr:col>
      <xdr:colOff>68834</xdr:colOff>
      <xdr:row>22</xdr:row>
      <xdr:rowOff>120994</xdr:rowOff>
    </xdr:from>
    <xdr:to>
      <xdr:col>4</xdr:col>
      <xdr:colOff>155234</xdr:colOff>
      <xdr:row>23</xdr:row>
      <xdr:rowOff>26920</xdr:rowOff>
    </xdr:to>
    <xdr:sp macro="" textlink="">
      <xdr:nvSpPr>
        <xdr:cNvPr id="132" name="Oval 131">
          <a:extLst>
            <a:ext uri="{FF2B5EF4-FFF2-40B4-BE49-F238E27FC236}">
              <a16:creationId xmlns:a16="http://schemas.microsoft.com/office/drawing/2014/main" id="{2034A64A-34F5-4208-B92C-83B36F53EF43}"/>
            </a:ext>
          </a:extLst>
        </xdr:cNvPr>
        <xdr:cNvSpPr/>
      </xdr:nvSpPr>
      <xdr:spPr>
        <a:xfrm>
          <a:off x="2515255" y="4091415"/>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377644</xdr:colOff>
      <xdr:row>25</xdr:row>
      <xdr:rowOff>179147</xdr:rowOff>
    </xdr:from>
    <xdr:to>
      <xdr:col>0</xdr:col>
      <xdr:colOff>464044</xdr:colOff>
      <xdr:row>26</xdr:row>
      <xdr:rowOff>85073</xdr:rowOff>
    </xdr:to>
    <xdr:sp macro="" textlink="">
      <xdr:nvSpPr>
        <xdr:cNvPr id="138" name="Oval 137">
          <a:extLst>
            <a:ext uri="{FF2B5EF4-FFF2-40B4-BE49-F238E27FC236}">
              <a16:creationId xmlns:a16="http://schemas.microsoft.com/office/drawing/2014/main" id="{25B53B62-41CC-2D55-9FB4-F6D5340CCB0E}"/>
            </a:ext>
          </a:extLst>
        </xdr:cNvPr>
        <xdr:cNvSpPr/>
      </xdr:nvSpPr>
      <xdr:spPr>
        <a:xfrm>
          <a:off x="377644" y="4690989"/>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4</xdr:col>
      <xdr:colOff>16697</xdr:colOff>
      <xdr:row>8</xdr:row>
      <xdr:rowOff>169120</xdr:rowOff>
    </xdr:from>
    <xdr:to>
      <xdr:col>4</xdr:col>
      <xdr:colOff>103097</xdr:colOff>
      <xdr:row>9</xdr:row>
      <xdr:rowOff>75046</xdr:rowOff>
    </xdr:to>
    <xdr:sp macro="" textlink="">
      <xdr:nvSpPr>
        <xdr:cNvPr id="139" name="Oval 138">
          <a:extLst>
            <a:ext uri="{FF2B5EF4-FFF2-40B4-BE49-F238E27FC236}">
              <a16:creationId xmlns:a16="http://schemas.microsoft.com/office/drawing/2014/main" id="{8978F203-7B1D-3A0B-7F70-056C5A3800FB}"/>
            </a:ext>
          </a:extLst>
        </xdr:cNvPr>
        <xdr:cNvSpPr/>
      </xdr:nvSpPr>
      <xdr:spPr>
        <a:xfrm>
          <a:off x="2463118" y="1612909"/>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341550</xdr:colOff>
      <xdr:row>18</xdr:row>
      <xdr:rowOff>112974</xdr:rowOff>
    </xdr:from>
    <xdr:to>
      <xdr:col>0</xdr:col>
      <xdr:colOff>427950</xdr:colOff>
      <xdr:row>19</xdr:row>
      <xdr:rowOff>18900</xdr:rowOff>
    </xdr:to>
    <xdr:sp macro="" textlink="">
      <xdr:nvSpPr>
        <xdr:cNvPr id="140" name="Oval 139">
          <a:extLst>
            <a:ext uri="{FF2B5EF4-FFF2-40B4-BE49-F238E27FC236}">
              <a16:creationId xmlns:a16="http://schemas.microsoft.com/office/drawing/2014/main" id="{B91B96D3-5472-4E7B-248D-7D2D2B616110}"/>
            </a:ext>
          </a:extLst>
        </xdr:cNvPr>
        <xdr:cNvSpPr/>
      </xdr:nvSpPr>
      <xdr:spPr>
        <a:xfrm>
          <a:off x="341550" y="3361500"/>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341550</xdr:colOff>
      <xdr:row>20</xdr:row>
      <xdr:rowOff>12709</xdr:rowOff>
    </xdr:from>
    <xdr:to>
      <xdr:col>0</xdr:col>
      <xdr:colOff>427950</xdr:colOff>
      <xdr:row>20</xdr:row>
      <xdr:rowOff>99109</xdr:rowOff>
    </xdr:to>
    <xdr:sp macro="" textlink="">
      <xdr:nvSpPr>
        <xdr:cNvPr id="141" name="Oval 140">
          <a:extLst>
            <a:ext uri="{FF2B5EF4-FFF2-40B4-BE49-F238E27FC236}">
              <a16:creationId xmlns:a16="http://schemas.microsoft.com/office/drawing/2014/main" id="{0734A4E5-56FD-21E0-4659-CA7C018C2516}"/>
            </a:ext>
          </a:extLst>
        </xdr:cNvPr>
        <xdr:cNvSpPr/>
      </xdr:nvSpPr>
      <xdr:spPr>
        <a:xfrm>
          <a:off x="341550" y="3622183"/>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341550</xdr:colOff>
      <xdr:row>21</xdr:row>
      <xdr:rowOff>123000</xdr:rowOff>
    </xdr:from>
    <xdr:to>
      <xdr:col>0</xdr:col>
      <xdr:colOff>427950</xdr:colOff>
      <xdr:row>22</xdr:row>
      <xdr:rowOff>28926</xdr:rowOff>
    </xdr:to>
    <xdr:sp macro="" textlink="">
      <xdr:nvSpPr>
        <xdr:cNvPr id="142" name="Oval 141">
          <a:extLst>
            <a:ext uri="{FF2B5EF4-FFF2-40B4-BE49-F238E27FC236}">
              <a16:creationId xmlns:a16="http://schemas.microsoft.com/office/drawing/2014/main" id="{93B1B07E-7E12-1482-32B0-A97F7979A6F1}"/>
            </a:ext>
          </a:extLst>
        </xdr:cNvPr>
        <xdr:cNvSpPr/>
      </xdr:nvSpPr>
      <xdr:spPr>
        <a:xfrm>
          <a:off x="341550" y="3912947"/>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341550</xdr:colOff>
      <xdr:row>22</xdr:row>
      <xdr:rowOff>173131</xdr:rowOff>
    </xdr:from>
    <xdr:to>
      <xdr:col>0</xdr:col>
      <xdr:colOff>427950</xdr:colOff>
      <xdr:row>23</xdr:row>
      <xdr:rowOff>79057</xdr:rowOff>
    </xdr:to>
    <xdr:sp macro="" textlink="">
      <xdr:nvSpPr>
        <xdr:cNvPr id="143" name="Oval 142">
          <a:extLst>
            <a:ext uri="{FF2B5EF4-FFF2-40B4-BE49-F238E27FC236}">
              <a16:creationId xmlns:a16="http://schemas.microsoft.com/office/drawing/2014/main" id="{C67E4758-65DB-063F-9926-42481FC56099}"/>
            </a:ext>
          </a:extLst>
        </xdr:cNvPr>
        <xdr:cNvSpPr/>
      </xdr:nvSpPr>
      <xdr:spPr>
        <a:xfrm>
          <a:off x="341550" y="4143552"/>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381000</xdr:colOff>
      <xdr:row>13</xdr:row>
      <xdr:rowOff>140367</xdr:rowOff>
    </xdr:from>
    <xdr:to>
      <xdr:col>0</xdr:col>
      <xdr:colOff>381000</xdr:colOff>
      <xdr:row>15</xdr:row>
      <xdr:rowOff>180473</xdr:rowOff>
    </xdr:to>
    <xdr:cxnSp macro="">
      <xdr:nvCxnSpPr>
        <xdr:cNvPr id="145" name="Straight Connector 144">
          <a:extLst>
            <a:ext uri="{FF2B5EF4-FFF2-40B4-BE49-F238E27FC236}">
              <a16:creationId xmlns:a16="http://schemas.microsoft.com/office/drawing/2014/main" id="{3F639359-07DB-872A-6596-DA6AB8B7B7C1}"/>
            </a:ext>
          </a:extLst>
        </xdr:cNvPr>
        <xdr:cNvCxnSpPr/>
      </xdr:nvCxnSpPr>
      <xdr:spPr>
        <a:xfrm flipV="1">
          <a:off x="381000" y="2486525"/>
          <a:ext cx="0" cy="401053"/>
        </a:xfrm>
        <a:prstGeom prst="line">
          <a:avLst/>
        </a:prstGeom>
        <a:ln w="25400">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160421</xdr:colOff>
      <xdr:row>8</xdr:row>
      <xdr:rowOff>120883</xdr:rowOff>
    </xdr:from>
    <xdr:to>
      <xdr:col>7</xdr:col>
      <xdr:colOff>431132</xdr:colOff>
      <xdr:row>13</xdr:row>
      <xdr:rowOff>100830</xdr:rowOff>
    </xdr:to>
    <xdr:pic>
      <xdr:nvPicPr>
        <xdr:cNvPr id="162" name="Picture 161">
          <a:extLst>
            <a:ext uri="{FF2B5EF4-FFF2-40B4-BE49-F238E27FC236}">
              <a16:creationId xmlns:a16="http://schemas.microsoft.com/office/drawing/2014/main" id="{4846C1F3-0AF0-3375-058A-1ECB525F035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830053" y="1564672"/>
          <a:ext cx="882316" cy="882316"/>
        </a:xfrm>
        <a:prstGeom prst="rect">
          <a:avLst/>
        </a:prstGeom>
      </xdr:spPr>
    </xdr:pic>
    <xdr:clientData/>
  </xdr:twoCellAnchor>
  <xdr:twoCellAnchor editAs="oneCell">
    <xdr:from>
      <xdr:col>0</xdr:col>
      <xdr:colOff>260684</xdr:colOff>
      <xdr:row>2</xdr:row>
      <xdr:rowOff>40106</xdr:rowOff>
    </xdr:from>
    <xdr:to>
      <xdr:col>1</xdr:col>
      <xdr:colOff>451183</xdr:colOff>
      <xdr:row>6</xdr:row>
      <xdr:rowOff>120315</xdr:rowOff>
    </xdr:to>
    <xdr:pic>
      <xdr:nvPicPr>
        <xdr:cNvPr id="164" name="Picture 163">
          <a:extLst>
            <a:ext uri="{FF2B5EF4-FFF2-40B4-BE49-F238E27FC236}">
              <a16:creationId xmlns:a16="http://schemas.microsoft.com/office/drawing/2014/main" id="{6AC3390F-53E3-7103-67A7-D8B40A16A15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60684" y="401053"/>
          <a:ext cx="802104" cy="802104"/>
        </a:xfrm>
        <a:prstGeom prst="rect">
          <a:avLst/>
        </a:prstGeom>
      </xdr:spPr>
    </xdr:pic>
    <xdr:clientData/>
  </xdr:twoCellAnchor>
  <xdr:twoCellAnchor>
    <xdr:from>
      <xdr:col>1</xdr:col>
      <xdr:colOff>431134</xdr:colOff>
      <xdr:row>1</xdr:row>
      <xdr:rowOff>167107</xdr:rowOff>
    </xdr:from>
    <xdr:to>
      <xdr:col>2</xdr:col>
      <xdr:colOff>449295</xdr:colOff>
      <xdr:row>4</xdr:row>
      <xdr:rowOff>80209</xdr:rowOff>
    </xdr:to>
    <xdr:sp macro="" textlink="">
      <xdr:nvSpPr>
        <xdr:cNvPr id="169" name="TextBox 168">
          <a:extLst>
            <a:ext uri="{FF2B5EF4-FFF2-40B4-BE49-F238E27FC236}">
              <a16:creationId xmlns:a16="http://schemas.microsoft.com/office/drawing/2014/main" id="{0951E5B8-7A87-8DA1-5AC0-0386D4C423EB}"/>
            </a:ext>
          </a:extLst>
        </xdr:cNvPr>
        <xdr:cNvSpPr txBox="1"/>
      </xdr:nvSpPr>
      <xdr:spPr>
        <a:xfrm>
          <a:off x="1042739" y="347581"/>
          <a:ext cx="629767" cy="454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rgbClr val="E5B244"/>
              </a:solidFill>
            </a:rPr>
            <a:t>HR</a:t>
          </a:r>
        </a:p>
      </xdr:txBody>
    </xdr:sp>
    <xdr:clientData/>
  </xdr:twoCellAnchor>
  <xdr:twoCellAnchor>
    <xdr:from>
      <xdr:col>1</xdr:col>
      <xdr:colOff>431132</xdr:colOff>
      <xdr:row>3</xdr:row>
      <xdr:rowOff>140369</xdr:rowOff>
    </xdr:from>
    <xdr:to>
      <xdr:col>3</xdr:col>
      <xdr:colOff>347500</xdr:colOff>
      <xdr:row>5</xdr:row>
      <xdr:rowOff>120316</xdr:rowOff>
    </xdr:to>
    <xdr:sp macro="" textlink="">
      <xdr:nvSpPr>
        <xdr:cNvPr id="170" name="TextBox 169">
          <a:extLst>
            <a:ext uri="{FF2B5EF4-FFF2-40B4-BE49-F238E27FC236}">
              <a16:creationId xmlns:a16="http://schemas.microsoft.com/office/drawing/2014/main" id="{40CA17F0-B05C-7CD7-641C-F2479E1CECDA}"/>
            </a:ext>
          </a:extLst>
        </xdr:cNvPr>
        <xdr:cNvSpPr txBox="1"/>
      </xdr:nvSpPr>
      <xdr:spPr>
        <a:xfrm>
          <a:off x="1042737" y="681790"/>
          <a:ext cx="1139579" cy="340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E5B244"/>
              </a:solidFill>
            </a:rPr>
            <a:t>Dashboard</a:t>
          </a:r>
        </a:p>
      </xdr:txBody>
    </xdr:sp>
    <xdr:clientData/>
  </xdr:twoCellAnchor>
  <xdr:twoCellAnchor>
    <xdr:from>
      <xdr:col>1</xdr:col>
      <xdr:colOff>431132</xdr:colOff>
      <xdr:row>5</xdr:row>
      <xdr:rowOff>10027</xdr:rowOff>
    </xdr:from>
    <xdr:to>
      <xdr:col>7</xdr:col>
      <xdr:colOff>100265</xdr:colOff>
      <xdr:row>6</xdr:row>
      <xdr:rowOff>170447</xdr:rowOff>
    </xdr:to>
    <xdr:sp macro="" textlink="">
      <xdr:nvSpPr>
        <xdr:cNvPr id="172" name="TextBox 171">
          <a:extLst>
            <a:ext uri="{FF2B5EF4-FFF2-40B4-BE49-F238E27FC236}">
              <a16:creationId xmlns:a16="http://schemas.microsoft.com/office/drawing/2014/main" id="{EE6B8232-EDC9-74FA-FB91-F5212A64F8DC}"/>
            </a:ext>
          </a:extLst>
        </xdr:cNvPr>
        <xdr:cNvSpPr txBox="1"/>
      </xdr:nvSpPr>
      <xdr:spPr>
        <a:xfrm>
          <a:off x="1042737" y="912395"/>
          <a:ext cx="3338765" cy="340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0" baseline="0">
              <a:solidFill>
                <a:schemeClr val="bg1">
                  <a:lumMod val="75000"/>
                </a:schemeClr>
              </a:solidFill>
              <a:latin typeface="+mn-lt"/>
              <a:ea typeface="+mn-ea"/>
              <a:cs typeface="+mn-cs"/>
            </a:rPr>
            <a:t>Analyze</a:t>
          </a:r>
          <a:r>
            <a:rPr lang="en-IN" sz="1800" b="1" baseline="0">
              <a:solidFill>
                <a:srgbClr val="E5B244"/>
              </a:solidFill>
            </a:rPr>
            <a:t> </a:t>
          </a:r>
          <a:r>
            <a:rPr lang="en-IN" sz="1000" b="0">
              <a:solidFill>
                <a:schemeClr val="bg1">
                  <a:lumMod val="75000"/>
                </a:schemeClr>
              </a:solidFill>
              <a:latin typeface="+mn-lt"/>
              <a:ea typeface="+mn-ea"/>
              <a:cs typeface="+mn-cs"/>
            </a:rPr>
            <a:t>and</a:t>
          </a:r>
          <a:r>
            <a:rPr lang="en-IN" sz="1800" b="1" baseline="0">
              <a:solidFill>
                <a:srgbClr val="E5B244"/>
              </a:solidFill>
            </a:rPr>
            <a:t> </a:t>
          </a:r>
          <a:r>
            <a:rPr lang="en-IN" sz="1000" b="0">
              <a:solidFill>
                <a:schemeClr val="bg1">
                  <a:lumMod val="75000"/>
                </a:schemeClr>
              </a:solidFill>
              <a:latin typeface="+mn-lt"/>
              <a:ea typeface="+mn-ea"/>
              <a:cs typeface="+mn-cs"/>
            </a:rPr>
            <a:t>monitor</a:t>
          </a:r>
          <a:r>
            <a:rPr lang="en-IN" sz="1800" b="1" baseline="0">
              <a:solidFill>
                <a:srgbClr val="E5B244"/>
              </a:solidFill>
            </a:rPr>
            <a:t> </a:t>
          </a:r>
          <a:r>
            <a:rPr lang="en-IN" sz="1000" b="0">
              <a:solidFill>
                <a:schemeClr val="bg1">
                  <a:lumMod val="75000"/>
                </a:schemeClr>
              </a:solidFill>
              <a:latin typeface="+mn-lt"/>
              <a:ea typeface="+mn-ea"/>
              <a:cs typeface="+mn-cs"/>
            </a:rPr>
            <a:t>the</a:t>
          </a:r>
          <a:r>
            <a:rPr lang="en-IN" sz="1800" b="1" baseline="0">
              <a:solidFill>
                <a:srgbClr val="E5B244"/>
              </a:solidFill>
            </a:rPr>
            <a:t> </a:t>
          </a:r>
          <a:r>
            <a:rPr lang="en-IN" sz="1000" b="0">
              <a:solidFill>
                <a:schemeClr val="bg1">
                  <a:lumMod val="75000"/>
                </a:schemeClr>
              </a:solidFill>
              <a:latin typeface="+mn-lt"/>
              <a:ea typeface="+mn-ea"/>
              <a:cs typeface="+mn-cs"/>
            </a:rPr>
            <a:t>HR</a:t>
          </a:r>
          <a:r>
            <a:rPr lang="en-IN" sz="1800" b="1" baseline="0">
              <a:solidFill>
                <a:srgbClr val="E5B244"/>
              </a:solidFill>
            </a:rPr>
            <a:t> </a:t>
          </a:r>
          <a:r>
            <a:rPr lang="en-IN" sz="1000" b="0">
              <a:solidFill>
                <a:schemeClr val="bg1">
                  <a:lumMod val="75000"/>
                </a:schemeClr>
              </a:solidFill>
              <a:latin typeface="+mn-lt"/>
              <a:ea typeface="+mn-ea"/>
              <a:cs typeface="+mn-cs"/>
            </a:rPr>
            <a:t>department</a:t>
          </a:r>
        </a:p>
      </xdr:txBody>
    </xdr:sp>
    <xdr:clientData/>
  </xdr:twoCellAnchor>
  <xdr:twoCellAnchor editAs="oneCell">
    <xdr:from>
      <xdr:col>5</xdr:col>
      <xdr:colOff>120316</xdr:colOff>
      <xdr:row>2</xdr:row>
      <xdr:rowOff>50133</xdr:rowOff>
    </xdr:from>
    <xdr:to>
      <xdr:col>8</xdr:col>
      <xdr:colOff>114300</xdr:colOff>
      <xdr:row>6</xdr:row>
      <xdr:rowOff>20053</xdr:rowOff>
    </xdr:to>
    <mc:AlternateContent xmlns:mc="http://schemas.openxmlformats.org/markup-compatibility/2006">
      <mc:Choice xmlns:a14="http://schemas.microsoft.com/office/drawing/2010/main" Requires="a14">
        <xdr:graphicFrame macro="">
          <xdr:nvGraphicFramePr>
            <xdr:cNvPr id="83" name="Gender">
              <a:extLst>
                <a:ext uri="{FF2B5EF4-FFF2-40B4-BE49-F238E27FC236}">
                  <a16:creationId xmlns:a16="http://schemas.microsoft.com/office/drawing/2014/main" id="{5EF4FC6F-898B-4892-A3F9-E7EE8D02A3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78342" y="411080"/>
              <a:ext cx="1828800" cy="691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86905</xdr:colOff>
      <xdr:row>2</xdr:row>
      <xdr:rowOff>76883</xdr:rowOff>
    </xdr:from>
    <xdr:to>
      <xdr:col>12</xdr:col>
      <xdr:colOff>240631</xdr:colOff>
      <xdr:row>7</xdr:row>
      <xdr:rowOff>90238</xdr:rowOff>
    </xdr:to>
    <mc:AlternateContent xmlns:mc="http://schemas.openxmlformats.org/markup-compatibility/2006">
      <mc:Choice xmlns:a14="http://schemas.microsoft.com/office/drawing/2010/main" Requires="a14">
        <xdr:graphicFrame macro="">
          <xdr:nvGraphicFramePr>
            <xdr:cNvPr id="84" name="Department">
              <a:extLst>
                <a:ext uri="{FF2B5EF4-FFF2-40B4-BE49-F238E27FC236}">
                  <a16:creationId xmlns:a16="http://schemas.microsoft.com/office/drawing/2014/main" id="{DF6DCD2C-E208-4A3F-8AFE-7B00C674497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979747" y="437830"/>
              <a:ext cx="2600147" cy="915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242632</xdr:colOff>
      <xdr:row>2</xdr:row>
      <xdr:rowOff>80211</xdr:rowOff>
    </xdr:from>
    <xdr:to>
      <xdr:col>10</xdr:col>
      <xdr:colOff>571500</xdr:colOff>
      <xdr:row>3</xdr:row>
      <xdr:rowOff>90237</xdr:rowOff>
    </xdr:to>
    <xdr:sp macro="" textlink="">
      <xdr:nvSpPr>
        <xdr:cNvPr id="86" name="TextBox 85">
          <a:extLst>
            <a:ext uri="{FF2B5EF4-FFF2-40B4-BE49-F238E27FC236}">
              <a16:creationId xmlns:a16="http://schemas.microsoft.com/office/drawing/2014/main" id="{3C61EBD9-BF0B-102E-0FD1-2DFFAA81175D}"/>
            </a:ext>
          </a:extLst>
        </xdr:cNvPr>
        <xdr:cNvSpPr txBox="1"/>
      </xdr:nvSpPr>
      <xdr:spPr>
        <a:xfrm>
          <a:off x="5135474" y="441158"/>
          <a:ext cx="155207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lumMod val="95000"/>
                </a:schemeClr>
              </a:solidFill>
            </a:rPr>
            <a:t>Filter</a:t>
          </a:r>
          <a:r>
            <a:rPr lang="en-IN" sz="1200" b="1" baseline="0">
              <a:solidFill>
                <a:schemeClr val="bg1">
                  <a:lumMod val="95000"/>
                </a:schemeClr>
              </a:solidFill>
            </a:rPr>
            <a:t> by department</a:t>
          </a:r>
          <a:endParaRPr lang="en-IN" sz="1200" b="1">
            <a:solidFill>
              <a:schemeClr val="bg1">
                <a:lumMod val="95000"/>
              </a:schemeClr>
            </a:solidFill>
          </a:endParaRPr>
        </a:p>
      </xdr:txBody>
    </xdr:sp>
    <xdr:clientData/>
  </xdr:twoCellAnchor>
  <xdr:twoCellAnchor>
    <xdr:from>
      <xdr:col>8</xdr:col>
      <xdr:colOff>207877</xdr:colOff>
      <xdr:row>2</xdr:row>
      <xdr:rowOff>128071</xdr:rowOff>
    </xdr:from>
    <xdr:to>
      <xdr:col>8</xdr:col>
      <xdr:colOff>294277</xdr:colOff>
      <xdr:row>3</xdr:row>
      <xdr:rowOff>33997</xdr:rowOff>
    </xdr:to>
    <xdr:sp macro="" textlink="">
      <xdr:nvSpPr>
        <xdr:cNvPr id="94" name="Oval 93">
          <a:extLst>
            <a:ext uri="{FF2B5EF4-FFF2-40B4-BE49-F238E27FC236}">
              <a16:creationId xmlns:a16="http://schemas.microsoft.com/office/drawing/2014/main" id="{EA9C194D-15B7-FF89-671E-CBB94F90B012}"/>
            </a:ext>
          </a:extLst>
        </xdr:cNvPr>
        <xdr:cNvSpPr/>
      </xdr:nvSpPr>
      <xdr:spPr>
        <a:xfrm>
          <a:off x="5100719" y="489018"/>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5</xdr:col>
      <xdr:colOff>202528</xdr:colOff>
      <xdr:row>2</xdr:row>
      <xdr:rowOff>70185</xdr:rowOff>
    </xdr:from>
    <xdr:to>
      <xdr:col>7</xdr:col>
      <xdr:colOff>180475</xdr:colOff>
      <xdr:row>3</xdr:row>
      <xdr:rowOff>80211</xdr:rowOff>
    </xdr:to>
    <xdr:sp macro="" textlink="">
      <xdr:nvSpPr>
        <xdr:cNvPr id="95" name="TextBox 94">
          <a:extLst>
            <a:ext uri="{FF2B5EF4-FFF2-40B4-BE49-F238E27FC236}">
              <a16:creationId xmlns:a16="http://schemas.microsoft.com/office/drawing/2014/main" id="{F3D6559C-5F77-3B34-6585-11ACDBC745C8}"/>
            </a:ext>
          </a:extLst>
        </xdr:cNvPr>
        <xdr:cNvSpPr txBox="1"/>
      </xdr:nvSpPr>
      <xdr:spPr>
        <a:xfrm>
          <a:off x="3260554" y="431132"/>
          <a:ext cx="120115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lumMod val="95000"/>
                </a:schemeClr>
              </a:solidFill>
            </a:rPr>
            <a:t>Filter</a:t>
          </a:r>
          <a:r>
            <a:rPr lang="en-IN" sz="1200" b="1" baseline="0">
              <a:solidFill>
                <a:schemeClr val="bg1">
                  <a:lumMod val="95000"/>
                </a:schemeClr>
              </a:solidFill>
            </a:rPr>
            <a:t> by gender</a:t>
          </a:r>
          <a:endParaRPr lang="en-IN" sz="1200" b="1">
            <a:solidFill>
              <a:schemeClr val="bg1">
                <a:lumMod val="95000"/>
              </a:schemeClr>
            </a:solidFill>
          </a:endParaRPr>
        </a:p>
      </xdr:txBody>
    </xdr:sp>
    <xdr:clientData/>
  </xdr:twoCellAnchor>
  <xdr:twoCellAnchor>
    <xdr:from>
      <xdr:col>5</xdr:col>
      <xdr:colOff>167772</xdr:colOff>
      <xdr:row>2</xdr:row>
      <xdr:rowOff>118045</xdr:rowOff>
    </xdr:from>
    <xdr:to>
      <xdr:col>5</xdr:col>
      <xdr:colOff>254172</xdr:colOff>
      <xdr:row>3</xdr:row>
      <xdr:rowOff>23971</xdr:rowOff>
    </xdr:to>
    <xdr:sp macro="" textlink="">
      <xdr:nvSpPr>
        <xdr:cNvPr id="107" name="Oval 106">
          <a:extLst>
            <a:ext uri="{FF2B5EF4-FFF2-40B4-BE49-F238E27FC236}">
              <a16:creationId xmlns:a16="http://schemas.microsoft.com/office/drawing/2014/main" id="{14C0519D-1B99-CA01-F487-C90466452BB0}"/>
            </a:ext>
          </a:extLst>
        </xdr:cNvPr>
        <xdr:cNvSpPr/>
      </xdr:nvSpPr>
      <xdr:spPr>
        <a:xfrm>
          <a:off x="3225798" y="478992"/>
          <a:ext cx="86400" cy="864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9.327903240737" createdVersion="8" refreshedVersion="8" minRefreshableVersion="3" recordCount="50" xr:uid="{4A31D939-C14C-46E3-BC9A-FC4B23E9696E}">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994075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06147-1B3D-40AE-9520-EE5B6E82BB06}"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9"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2">
    <format dxfId="118">
      <pivotArea collapsedLevelsAreSubtotals="1" fieldPosition="0">
        <references count="1">
          <reference field="6" count="0"/>
        </references>
      </pivotArea>
    </format>
    <format dxfId="11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789CC2-6CD2-496B-9548-BA083ACFB5C1}" name="ski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9"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16E987-4779-4A0E-825A-9D1E3957C6E3}" name="Departm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9"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2"/>
  </dataFields>
  <formats count="2">
    <format dxfId="120">
      <pivotArea collapsedLevelsAreSubtotals="1" fieldPosition="0">
        <references count="1">
          <reference field="7" count="0"/>
        </references>
      </pivotArea>
    </format>
    <format dxfId="11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2086B8-4DD2-4A36-A906-A00A3EAAE0C4}" name="reg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3:U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FE86BD-B0DC-4D70-A583-0CF7B47A9A47}" name="employment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0E76A0-EAF5-45A7-AFC8-BC047813EE0C}" name="Age reang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L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A076A2-5EF6-4CE3-B10B-9623D82116C3}" name="workpla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74546E-B30F-4BAB-BC45-64BA348CCA3B}" sourceName="Gender">
  <pivotTables>
    <pivotTable tabId="3" name="Departments"/>
    <pivotTable tabId="3" name="employment status"/>
    <pivotTable tabId="3" name="regions"/>
    <pivotTable tabId="3" name="Salaries"/>
    <pivotTable tabId="3" name="skills"/>
    <pivotTable tabId="3" name="workplace"/>
  </pivotTables>
  <data>
    <tabular pivotCacheId="9940758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24DEC03-5AA6-4F11-A66C-48D2B179B610}" sourceName="Department">
  <pivotTables>
    <pivotTable tabId="3" name="Age reange "/>
    <pivotTable tabId="3" name="Departments"/>
    <pivotTable tabId="3" name="employment status"/>
    <pivotTable tabId="3" name="regions"/>
    <pivotTable tabId="3" name="Salaries"/>
    <pivotTable tabId="3" name="skills"/>
    <pivotTable tabId="3" name="workplace"/>
  </pivotTables>
  <data>
    <tabular pivotCacheId="99407583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7C46C37-1937-4674-B1B3-A42F209DECD9}" cache="Slicer_Gender" columnCount="2" style="mystyle" rowHeight="247650"/>
  <slicer name="Department" xr10:uid="{2ECA4100-32DE-4198-ACB4-1A0A579E2005}" cache="Slicer_Department" columnCount="3" style="mystyl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143" dataDxfId="142">
  <autoFilter ref="A1:U51" xr:uid="{BD7F130C-4931-4EC9-8AE2-A64F6556D3A3}"/>
  <tableColumns count="21">
    <tableColumn id="1" xr3:uid="{6BDBB43D-1DF4-4FF3-9C56-0E3D699A83FC}" name="Employee ID" dataDxfId="141"/>
    <tableColumn id="2" xr3:uid="{363D91B7-21AD-4B4B-86DE-95D24769EAA5}" name="Full Name" dataDxfId="140"/>
    <tableColumn id="3" xr3:uid="{728245EC-9766-45F5-9851-7FEFEFBE2652}" name="Gender" dataDxfId="139"/>
    <tableColumn id="4" xr3:uid="{DD8A90D1-163F-4B0E-A039-9E7A16AFC106}" name="Age" dataDxfId="138"/>
    <tableColumn id="5" xr3:uid="{0672993B-A00D-49AE-84B7-674089468A17}" name="Age range" dataDxfId="137"/>
    <tableColumn id="6" xr3:uid="{B1ADEE80-60F1-4EE3-B3FB-8484EE6C17B3}" name="Region" dataDxfId="136"/>
    <tableColumn id="7" xr3:uid="{8E0A56EE-3456-4513-ADA0-27F6CAA8C17B}" name="Job Title" dataDxfId="135"/>
    <tableColumn id="8" xr3:uid="{0D9D5DB9-01CB-4300-B0CD-256901621ADC}" name="Department" dataDxfId="134"/>
    <tableColumn id="9" xr3:uid="{9EBDAC3F-6A39-4A78-B562-848691EE3AD1}" name="Manager/Supervisor" dataDxfId="133"/>
    <tableColumn id="10" xr3:uid="{AF849F24-150A-4123-B3F8-A46B4D4F7BC6}" name="Date of Hire" dataDxfId="132"/>
    <tableColumn id="11" xr3:uid="{8C57202E-334A-462A-9C44-E5E2468122E4}" name="Employment Status" dataDxfId="131"/>
    <tableColumn id="12" xr3:uid="{8A07812C-245C-4D55-A210-3AE7E0BB84EB}" name="Work Location" dataDxfId="130"/>
    <tableColumn id="13" xr3:uid="{6441036C-01DD-4130-8E4B-DBA441BCB744}" name="Salary" dataDxfId="129"/>
    <tableColumn id="14" xr3:uid="{ADCF531A-A98E-422C-939D-04D58C2423FB}" name="Pay Grade" dataDxfId="128"/>
    <tableColumn id="15" xr3:uid="{DE922695-AE31-4F31-8F89-61E6E7E646AB}" name="Bonus/Allowances" dataDxfId="127"/>
    <tableColumn id="16" xr3:uid="{62F2B816-9954-4A01-AEDC-4C13B3A2A52F}" name="Insurance Details" dataDxfId="126"/>
    <tableColumn id="17" xr3:uid="{6EFEC335-9B75-45D5-B403-A8A9E557BE24}" name="Leave Taken" dataDxfId="125"/>
    <tableColumn id="18" xr3:uid="{9DA1B78E-154E-42E4-A1BC-FE1CF363DCBA}" name="Performance Rating" dataDxfId="124"/>
    <tableColumn id="19" xr3:uid="{7E4B5E79-5639-4E3A-91A1-D1D8767BB705}" name="Training Programs Attended" dataDxfId="123"/>
    <tableColumn id="20" xr3:uid="{2E731344-8C6D-4001-9E36-F16B80500F61}" name="Skills" dataDxfId="122"/>
    <tableColumn id="21" xr3:uid="{9DCE550B-F788-4423-B330-CAB70C041DFC}" name="Certifications" dataDxfId="1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activeCell="D9" sqref="D9"/>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0CED-396F-4428-A918-086D734BCA78}">
  <dimension ref="B2:X21"/>
  <sheetViews>
    <sheetView zoomScale="66" workbookViewId="0">
      <selection activeCell="J3" sqref="J3"/>
    </sheetView>
  </sheetViews>
  <sheetFormatPr defaultRowHeight="14.4"/>
  <cols>
    <col min="1" max="1" width="2" customWidth="1"/>
    <col min="2" max="2" width="13.88671875" bestFit="1" customWidth="1"/>
    <col min="3" max="3" width="17.109375" bestFit="1" customWidth="1"/>
    <col min="4" max="4" width="2" customWidth="1"/>
    <col min="5" max="5" width="13.88671875" bestFit="1" customWidth="1"/>
    <col min="6" max="6" width="12.21875" bestFit="1" customWidth="1"/>
    <col min="7" max="7" width="17.6640625" bestFit="1" customWidth="1"/>
    <col min="8" max="8" width="2" customWidth="1"/>
    <col min="9" max="10" width="17.109375" bestFit="1" customWidth="1"/>
    <col min="11" max="11" width="5.109375" bestFit="1" customWidth="1"/>
    <col min="12" max="12" width="10.5546875" bestFit="1" customWidth="1"/>
    <col min="13" max="13" width="2" customWidth="1"/>
    <col min="14" max="14" width="13.88671875" bestFit="1" customWidth="1"/>
    <col min="15" max="15" width="17.109375" bestFit="1" customWidth="1"/>
    <col min="16" max="16" width="2" customWidth="1"/>
    <col min="17" max="17" width="14.44140625" bestFit="1" customWidth="1"/>
    <col min="18" max="18" width="17.109375" bestFit="1" customWidth="1"/>
    <col min="19" max="19" width="2" customWidth="1"/>
    <col min="20" max="20" width="13.88671875" bestFit="1" customWidth="1"/>
    <col min="21" max="21" width="17.109375" bestFit="1" customWidth="1"/>
    <col min="22" max="22" width="2" customWidth="1"/>
    <col min="23" max="23" width="13.88671875" bestFit="1" customWidth="1"/>
    <col min="24" max="24" width="27.5546875" bestFit="1" customWidth="1"/>
    <col min="25" max="25" width="23.5546875" bestFit="1" customWidth="1"/>
  </cols>
  <sheetData>
    <row r="2" spans="2:24">
      <c r="B2" s="14" t="s">
        <v>218</v>
      </c>
      <c r="C2" s="14"/>
      <c r="E2" s="14" t="s">
        <v>222</v>
      </c>
      <c r="F2" s="14"/>
      <c r="G2" s="14"/>
      <c r="I2" s="14" t="s">
        <v>224</v>
      </c>
      <c r="J2" s="14"/>
      <c r="K2" s="14"/>
      <c r="L2" s="14"/>
      <c r="N2" s="14" t="s">
        <v>225</v>
      </c>
      <c r="O2" s="14"/>
      <c r="Q2" s="14" t="s">
        <v>19</v>
      </c>
      <c r="R2" s="14"/>
      <c r="T2" s="14" t="s">
        <v>227</v>
      </c>
      <c r="U2" s="14"/>
      <c r="W2" s="14" t="s">
        <v>228</v>
      </c>
      <c r="X2" s="14"/>
    </row>
    <row r="3" spans="2:24">
      <c r="B3" s="6" t="s">
        <v>214</v>
      </c>
      <c r="C3" t="s">
        <v>216</v>
      </c>
      <c r="E3" s="6" t="s">
        <v>214</v>
      </c>
      <c r="F3" t="s">
        <v>220</v>
      </c>
      <c r="G3" t="s">
        <v>226</v>
      </c>
      <c r="I3" s="6" t="s">
        <v>216</v>
      </c>
      <c r="J3" s="6" t="s">
        <v>223</v>
      </c>
      <c r="N3" s="6" t="s">
        <v>214</v>
      </c>
      <c r="O3" t="s">
        <v>216</v>
      </c>
      <c r="Q3" s="6" t="s">
        <v>214</v>
      </c>
      <c r="R3" t="s">
        <v>216</v>
      </c>
      <c r="T3" s="6" t="s">
        <v>214</v>
      </c>
      <c r="U3" t="s">
        <v>216</v>
      </c>
      <c r="W3" s="6" t="s">
        <v>214</v>
      </c>
      <c r="X3" t="s">
        <v>230</v>
      </c>
    </row>
    <row r="4" spans="2:24">
      <c r="B4" s="7" t="s">
        <v>63</v>
      </c>
      <c r="C4" s="15">
        <v>17</v>
      </c>
      <c r="E4" s="7" t="s">
        <v>121</v>
      </c>
      <c r="F4" s="8">
        <v>167041</v>
      </c>
      <c r="G4" s="8">
        <v>28</v>
      </c>
      <c r="I4" s="6" t="s">
        <v>214</v>
      </c>
      <c r="J4" t="s">
        <v>22</v>
      </c>
      <c r="K4" t="s">
        <v>37</v>
      </c>
      <c r="L4" t="s">
        <v>215</v>
      </c>
      <c r="N4" s="7" t="s">
        <v>44</v>
      </c>
      <c r="O4" s="15">
        <v>23</v>
      </c>
      <c r="Q4" s="7" t="s">
        <v>75</v>
      </c>
      <c r="R4" s="15">
        <v>12</v>
      </c>
      <c r="T4" s="7" t="s">
        <v>39</v>
      </c>
      <c r="U4" s="15">
        <v>14</v>
      </c>
      <c r="W4" s="7" t="s">
        <v>26</v>
      </c>
      <c r="X4" s="13">
        <v>2.5833333333333335</v>
      </c>
    </row>
    <row r="5" spans="2:24">
      <c r="B5" s="7" t="s">
        <v>29</v>
      </c>
      <c r="C5" s="15">
        <v>20</v>
      </c>
      <c r="D5" t="s">
        <v>217</v>
      </c>
      <c r="E5" s="7" t="s">
        <v>40</v>
      </c>
      <c r="F5" s="8">
        <v>613842</v>
      </c>
      <c r="G5" s="8">
        <v>110</v>
      </c>
      <c r="I5" s="7" t="s">
        <v>23</v>
      </c>
      <c r="J5" s="15">
        <v>6</v>
      </c>
      <c r="K5" s="15">
        <v>3</v>
      </c>
      <c r="L5" s="15">
        <v>9</v>
      </c>
      <c r="N5" s="7" t="s">
        <v>30</v>
      </c>
      <c r="O5" s="15">
        <v>8</v>
      </c>
      <c r="Q5" s="7" t="s">
        <v>34</v>
      </c>
      <c r="R5" s="15">
        <v>11</v>
      </c>
      <c r="T5" s="7" t="s">
        <v>24</v>
      </c>
      <c r="U5" s="15">
        <v>10</v>
      </c>
      <c r="W5" s="7" t="s">
        <v>41</v>
      </c>
      <c r="X5" s="13">
        <v>3.3</v>
      </c>
    </row>
    <row r="6" spans="2:24">
      <c r="B6" s="7" t="s">
        <v>111</v>
      </c>
      <c r="C6" s="15">
        <v>13</v>
      </c>
      <c r="E6" s="7" t="s">
        <v>72</v>
      </c>
      <c r="F6" s="8">
        <v>633594</v>
      </c>
      <c r="G6" s="8">
        <v>104</v>
      </c>
      <c r="I6" s="7" t="s">
        <v>38</v>
      </c>
      <c r="J6" s="15">
        <v>7</v>
      </c>
      <c r="K6" s="15">
        <v>6</v>
      </c>
      <c r="L6" s="15">
        <v>13</v>
      </c>
      <c r="N6" s="7" t="s">
        <v>54</v>
      </c>
      <c r="O6" s="15">
        <v>19</v>
      </c>
      <c r="Q6" s="7" t="s">
        <v>96</v>
      </c>
      <c r="R6" s="15">
        <v>7</v>
      </c>
      <c r="T6" s="7" t="s">
        <v>102</v>
      </c>
      <c r="U6" s="15">
        <v>7</v>
      </c>
      <c r="W6" s="7" t="s">
        <v>81</v>
      </c>
      <c r="X6" s="13">
        <v>2.25</v>
      </c>
    </row>
    <row r="7" spans="2:24">
      <c r="B7" s="7" t="s">
        <v>215</v>
      </c>
      <c r="C7" s="15">
        <v>50</v>
      </c>
      <c r="E7" s="7" t="s">
        <v>50</v>
      </c>
      <c r="F7" s="8">
        <v>959266</v>
      </c>
      <c r="G7" s="8">
        <v>123</v>
      </c>
      <c r="I7" s="7" t="s">
        <v>59</v>
      </c>
      <c r="J7" s="15">
        <v>5</v>
      </c>
      <c r="K7" s="15">
        <v>7</v>
      </c>
      <c r="L7" s="15">
        <v>12</v>
      </c>
      <c r="N7" s="7" t="s">
        <v>215</v>
      </c>
      <c r="O7" s="15">
        <v>50</v>
      </c>
      <c r="Q7" s="7" t="s">
        <v>56</v>
      </c>
      <c r="R7" s="15">
        <v>11</v>
      </c>
      <c r="T7" s="7" t="s">
        <v>80</v>
      </c>
      <c r="U7" s="15">
        <v>10</v>
      </c>
      <c r="W7" s="7" t="s">
        <v>51</v>
      </c>
      <c r="X7" s="13">
        <v>2.3636363636363638</v>
      </c>
    </row>
    <row r="8" spans="2:24">
      <c r="E8" s="7" t="s">
        <v>25</v>
      </c>
      <c r="F8" s="8">
        <v>731170</v>
      </c>
      <c r="G8" s="8">
        <v>122</v>
      </c>
      <c r="I8" s="7" t="s">
        <v>98</v>
      </c>
      <c r="J8" s="15">
        <v>4</v>
      </c>
      <c r="K8" s="15">
        <v>3</v>
      </c>
      <c r="L8" s="15">
        <v>7</v>
      </c>
      <c r="Q8" s="7" t="s">
        <v>66</v>
      </c>
      <c r="R8" s="15">
        <v>9</v>
      </c>
      <c r="T8" s="7" t="s">
        <v>49</v>
      </c>
      <c r="U8" s="15">
        <v>9</v>
      </c>
      <c r="W8" s="7" t="s">
        <v>60</v>
      </c>
      <c r="X8" s="13">
        <v>2.5555555555555554</v>
      </c>
    </row>
    <row r="9" spans="2:24">
      <c r="B9" s="7" t="s">
        <v>63</v>
      </c>
      <c r="C9">
        <f>IFERROR(GETPIVOTDATA("Full Name",$B$3,"Employment Status","Contract"),"0")</f>
        <v>17</v>
      </c>
      <c r="E9" s="7" t="s">
        <v>215</v>
      </c>
      <c r="F9" s="8">
        <v>3104913</v>
      </c>
      <c r="G9" s="8">
        <v>487</v>
      </c>
      <c r="I9" s="7" t="s">
        <v>68</v>
      </c>
      <c r="J9" s="15">
        <v>4</v>
      </c>
      <c r="K9" s="15">
        <v>5</v>
      </c>
      <c r="L9" s="15">
        <v>9</v>
      </c>
      <c r="N9" s="7" t="s">
        <v>44</v>
      </c>
      <c r="O9">
        <f>IFERROR(GETPIVOTDATA("Full Name",$N$3,"Work Location","Branch Office"),"0")</f>
        <v>23</v>
      </c>
      <c r="Q9" s="7" t="s">
        <v>215</v>
      </c>
      <c r="R9" s="15">
        <v>50</v>
      </c>
      <c r="T9" s="7" t="s">
        <v>215</v>
      </c>
      <c r="U9" s="15">
        <v>50</v>
      </c>
      <c r="W9" s="7" t="s">
        <v>215</v>
      </c>
      <c r="X9" s="13">
        <v>2.62</v>
      </c>
    </row>
    <row r="10" spans="2:24">
      <c r="B10" s="7" t="s">
        <v>29</v>
      </c>
      <c r="C10">
        <f>IFERROR(GETPIVOTDATA("Full Name",$B$3,"Employment Status","Full-Time"),"0")</f>
        <v>20</v>
      </c>
      <c r="I10" s="7" t="s">
        <v>215</v>
      </c>
      <c r="J10" s="15">
        <v>26</v>
      </c>
      <c r="K10" s="15">
        <v>24</v>
      </c>
      <c r="L10" s="15">
        <v>50</v>
      </c>
      <c r="N10" s="7" t="s">
        <v>30</v>
      </c>
      <c r="O10">
        <f>IFERROR(GETPIVOTDATA("Full Name",$N$3,"Work Location","Head Office"),"0")</f>
        <v>8</v>
      </c>
    </row>
    <row r="11" spans="2:24">
      <c r="B11" s="7" t="s">
        <v>111</v>
      </c>
      <c r="C11">
        <f>IFERROR(GETPIVOTDATA("Full Name",$B$3,"Employment Status","Part-Time"),"0")</f>
        <v>13</v>
      </c>
      <c r="E11" s="7" t="s">
        <v>121</v>
      </c>
      <c r="F11" s="9">
        <f>IFERROR(GETPIVOTDATA("Salary",$E$3,"Job Title","Analyst"),"0")</f>
        <v>167041</v>
      </c>
      <c r="G11" s="9">
        <f>IFERROR(GETPIVOTDATA("Sum of Leave Taken",$E$3,"Job Title","Analyst"),"0")</f>
        <v>28</v>
      </c>
      <c r="N11" s="7" t="s">
        <v>54</v>
      </c>
      <c r="O11">
        <f>IFERROR(GETPIVOTDATA("Full Name",$N$3,"Work Location","Remote"),"0")</f>
        <v>19</v>
      </c>
      <c r="Q11" s="7" t="s">
        <v>75</v>
      </c>
      <c r="R11">
        <f>IFERROR(GETPIVOTDATA("Full Name",$Q$3,"Skills","Communication"),"0")</f>
        <v>12</v>
      </c>
      <c r="T11" s="7" t="s">
        <v>39</v>
      </c>
      <c r="U11">
        <f>IFERROR(GETPIVOTDATA("Full Name",$T$3,"Region","Central"),"0")</f>
        <v>14</v>
      </c>
      <c r="W11" s="7" t="s">
        <v>26</v>
      </c>
      <c r="X11" s="13">
        <f>IFERROR(GETPIVOTDATA("Performance Rating",$W$3,"Department","Finance"),"0")</f>
        <v>2.5833333333333335</v>
      </c>
    </row>
    <row r="12" spans="2:24">
      <c r="B12" s="7" t="s">
        <v>219</v>
      </c>
      <c r="C12">
        <f>SUM(C9:C11)</f>
        <v>50</v>
      </c>
      <c r="E12" s="7" t="s">
        <v>40</v>
      </c>
      <c r="F12" s="9">
        <f>IFERROR(GETPIVOTDATA("Salary",$E$3,"Job Title","Designer"),"0")</f>
        <v>613842</v>
      </c>
      <c r="G12" s="9">
        <f>IFERROR(GETPIVOTDATA("Sum of Leave Taken",$E$3,"Job Title","Designer"),"0")</f>
        <v>110</v>
      </c>
      <c r="I12" s="7" t="s">
        <v>23</v>
      </c>
      <c r="J12">
        <f>IFERROR(GETPIVOTDATA("Full Name",$I$3,"Age range","18-25"),"0")</f>
        <v>9</v>
      </c>
      <c r="N12" s="7" t="s">
        <v>219</v>
      </c>
      <c r="O12">
        <f>SUM(O9:O11)</f>
        <v>50</v>
      </c>
      <c r="P12" s="10"/>
      <c r="Q12" s="7" t="s">
        <v>34</v>
      </c>
      <c r="R12">
        <f>IFERROR(GETPIVOTDATA("Full Name",$Q$3,"Skills","Design"),"0")</f>
        <v>11</v>
      </c>
      <c r="T12" s="7" t="s">
        <v>24</v>
      </c>
      <c r="U12">
        <f>IFERROR(GETPIVOTDATA("Full Name",$T$3,"Region","East"),"0")</f>
        <v>10</v>
      </c>
      <c r="W12" s="7" t="s">
        <v>41</v>
      </c>
      <c r="X12" s="13">
        <f>IFERROR(GETPIVOTDATA("Performance Rating",$W$3,"Department","HR"),"0")</f>
        <v>3.3</v>
      </c>
    </row>
    <row r="13" spans="2:24">
      <c r="E13" s="7" t="s">
        <v>72</v>
      </c>
      <c r="F13" s="9">
        <f>IFERROR(GETPIVOTDATA("Salary",$E$3,"Job Title","Developer"),"0")</f>
        <v>633594</v>
      </c>
      <c r="G13" s="9">
        <f>IFERROR(GETPIVOTDATA("Sum of Leave Taken",$E$3,"Job Title","Developer"),"0")</f>
        <v>104</v>
      </c>
      <c r="I13" s="7" t="s">
        <v>38</v>
      </c>
      <c r="J13">
        <f>IFERROR(GETPIVOTDATA("Full Name",$I$3,"Age range","26-35"),"0")</f>
        <v>13</v>
      </c>
      <c r="Q13" s="7" t="s">
        <v>96</v>
      </c>
      <c r="R13">
        <f>IFERROR(GETPIVOTDATA("Full Name",$Q$3,"Skills","Excel"),"0")</f>
        <v>7</v>
      </c>
      <c r="T13" s="7" t="s">
        <v>102</v>
      </c>
      <c r="U13">
        <f>IFERROR(GETPIVOTDATA("Full Name",$T$3,"Region","North"),"0")</f>
        <v>7</v>
      </c>
      <c r="W13" s="7" t="s">
        <v>81</v>
      </c>
      <c r="X13" s="13">
        <f>IFERROR(GETPIVOTDATA("Performance Rating",$W$3,"Department","IT"),"0")</f>
        <v>2.25</v>
      </c>
    </row>
    <row r="14" spans="2:24">
      <c r="E14" s="7" t="s">
        <v>50</v>
      </c>
      <c r="F14" s="9">
        <f>IFERROR(GETPIVOTDATA("Salary",$E$3,"Job Title","HR Specialist"),"0")</f>
        <v>959266</v>
      </c>
      <c r="G14" s="9">
        <f>IFERROR(GETPIVOTDATA("Sum of Leave Taken",$E$3,"Job Title","HR Specialist"),"0")</f>
        <v>123</v>
      </c>
      <c r="I14" s="7" t="s">
        <v>59</v>
      </c>
      <c r="J14">
        <f>IFERROR(GETPIVOTDATA("Full Name",$I$3,"Age range","36-45"),"0")</f>
        <v>12</v>
      </c>
      <c r="N14" s="11">
        <f>SUM(O9)/SUM($O$9:$O$11)</f>
        <v>0.46</v>
      </c>
      <c r="O14" s="12">
        <f>1-N14</f>
        <v>0.54</v>
      </c>
      <c r="Q14" s="7" t="s">
        <v>56</v>
      </c>
      <c r="R14">
        <f>IFERROR(GETPIVOTDATA("Full Name",$Q$3,"Skills","Management"),"0")</f>
        <v>11</v>
      </c>
      <c r="T14" s="7" t="s">
        <v>80</v>
      </c>
      <c r="U14">
        <f>IFERROR(GETPIVOTDATA("Full Name",$T$3,"Region","South"),"0")</f>
        <v>10</v>
      </c>
      <c r="W14" s="7" t="s">
        <v>51</v>
      </c>
      <c r="X14" s="13">
        <f>IFERROR(GETPIVOTDATA("Performance Rating",$W$3,"Department","Marketing"),"0")</f>
        <v>2.3636363636363638</v>
      </c>
    </row>
    <row r="15" spans="2:24">
      <c r="E15" s="7" t="s">
        <v>25</v>
      </c>
      <c r="F15" s="9">
        <f>IFERROR(GETPIVOTDATA("Salary",$E$3,"Job Title","Manager"),"0")</f>
        <v>731170</v>
      </c>
      <c r="G15" s="9">
        <f>IFERROR(GETPIVOTDATA("Sum of Leave Taken",$E$3,"Job Title","Manager"),"0")</f>
        <v>122</v>
      </c>
      <c r="I15" s="7" t="s">
        <v>98</v>
      </c>
      <c r="J15">
        <f>IFERROR(GETPIVOTDATA("Full Name",$I$3,"Age range","46-55"),"0")</f>
        <v>7</v>
      </c>
      <c r="N15" s="11">
        <f>SUM(O10)/SUM($O$9:$O$11)</f>
        <v>0.16</v>
      </c>
      <c r="O15" s="12">
        <f t="shared" ref="O15:O16" si="0">1-N15</f>
        <v>0.84</v>
      </c>
      <c r="Q15" s="7" t="s">
        <v>66</v>
      </c>
      <c r="R15">
        <f>IFERROR(GETPIVOTDATA("Full Name",$Q$3,"Skills","Python"),"0")</f>
        <v>9</v>
      </c>
      <c r="T15" s="7" t="s">
        <v>49</v>
      </c>
      <c r="U15">
        <f>IFERROR(GETPIVOTDATA("Full Name",$T$3,"Region","West"),"0")</f>
        <v>9</v>
      </c>
      <c r="W15" s="7" t="s">
        <v>60</v>
      </c>
      <c r="X15" s="13">
        <f>IFERROR(GETPIVOTDATA("Performance Rating",$W$3,"Department","Operations"),"0")</f>
        <v>2.5555555555555554</v>
      </c>
    </row>
    <row r="16" spans="2:24">
      <c r="E16" s="7" t="s">
        <v>221</v>
      </c>
      <c r="F16" s="9">
        <f>SUM(F11:F15)</f>
        <v>3104913</v>
      </c>
      <c r="G16" s="9">
        <f>SUM(G11:G15)</f>
        <v>487</v>
      </c>
      <c r="I16" s="7" t="s">
        <v>68</v>
      </c>
      <c r="J16">
        <f>IFERROR(GETPIVOTDATA("Full Name",$I$3,"Age range","56 &lt;"),"0")</f>
        <v>9</v>
      </c>
      <c r="N16" s="11">
        <f>SUM(O11)/SUM($O$9:$O$11)</f>
        <v>0.38</v>
      </c>
      <c r="O16" s="12">
        <f t="shared" si="0"/>
        <v>0.62</v>
      </c>
      <c r="Q16" s="7" t="s">
        <v>219</v>
      </c>
      <c r="R16">
        <f>SUM(R11:R15)</f>
        <v>50</v>
      </c>
      <c r="T16" s="7" t="s">
        <v>219</v>
      </c>
      <c r="U16">
        <f>SUM(U11:U15)</f>
        <v>50</v>
      </c>
      <c r="W16" s="7" t="s">
        <v>229</v>
      </c>
      <c r="X16" s="13">
        <f>AVERAGE(X11:X15)</f>
        <v>2.6105050505050502</v>
      </c>
    </row>
    <row r="17" spans="9:12">
      <c r="I17" s="7" t="s">
        <v>219</v>
      </c>
      <c r="J17">
        <f>SUM(J12:J16)</f>
        <v>50</v>
      </c>
    </row>
    <row r="19" spans="9:12">
      <c r="I19" s="7" t="s">
        <v>37</v>
      </c>
      <c r="J19">
        <f>IFERROR(GETPIVOTDATA("Full Name",$I$3,"Gender","Male"),"0")</f>
        <v>24</v>
      </c>
      <c r="K19" s="12">
        <f t="shared" ref="K19:K20" si="1">SUM(J19)/SUM($J$19:$J$20)</f>
        <v>0.48</v>
      </c>
      <c r="L19" s="12">
        <f>1-K19</f>
        <v>0.52</v>
      </c>
    </row>
    <row r="20" spans="9:12">
      <c r="I20" s="7" t="s">
        <v>22</v>
      </c>
      <c r="J20">
        <f>IFERROR(GETPIVOTDATA("Full Name",$I$3,"Gender","Female"),"0")</f>
        <v>26</v>
      </c>
      <c r="K20" s="12">
        <f t="shared" si="1"/>
        <v>0.52</v>
      </c>
      <c r="L20" s="12">
        <f>1-K20</f>
        <v>0.48</v>
      </c>
    </row>
    <row r="21" spans="9:12">
      <c r="I21" s="7" t="s">
        <v>219</v>
      </c>
      <c r="J21">
        <f>SUM(J19:J20)</f>
        <v>50</v>
      </c>
    </row>
  </sheetData>
  <mergeCells count="7">
    <mergeCell ref="T2:U2"/>
    <mergeCell ref="W2:X2"/>
    <mergeCell ref="B2:C2"/>
    <mergeCell ref="I2:L2"/>
    <mergeCell ref="N2:O2"/>
    <mergeCell ref="Q2:R2"/>
    <mergeCell ref="E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4553-1F30-4B72-A4B9-E0A5BA9FCEC8}">
  <dimension ref="A1:U23"/>
  <sheetViews>
    <sheetView showGridLines="0" tabSelected="1" zoomScale="76" zoomScaleNormal="76" workbookViewId="0">
      <selection activeCell="U16" sqref="U16"/>
    </sheetView>
  </sheetViews>
  <sheetFormatPr defaultRowHeight="14.4"/>
  <cols>
    <col min="1" max="16384" width="8.88671875" style="5"/>
  </cols>
  <sheetData>
    <row r="1" spans="1:21">
      <c r="A1" s="4"/>
    </row>
    <row r="15" spans="1:21">
      <c r="U15" s="5" t="s">
        <v>217</v>
      </c>
    </row>
    <row r="23" spans="21:21">
      <c r="U23" s="5" t="s">
        <v>217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Arpit Badoni</cp:lastModifiedBy>
  <dcterms:created xsi:type="dcterms:W3CDTF">2024-12-11T17:14:33Z</dcterms:created>
  <dcterms:modified xsi:type="dcterms:W3CDTF">2026-02-08T05:18:01Z</dcterms:modified>
</cp:coreProperties>
</file>